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238" documentId="11_E60897F41BE170836B02CE998F75CCDC64E183C8" xr6:coauthVersionLast="47" xr6:coauthVersionMax="47" xr10:uidLastSave="{93A213B4-1414-4ED7-9951-24001E47C6CA}"/>
  <bookViews>
    <workbookView xWindow="240" yWindow="105" windowWidth="14805" windowHeight="8010" firstSheet="1" xr2:uid="{00000000-000D-0000-FFFF-FFFF00000000}"/>
  </bookViews>
  <sheets>
    <sheet name="Lead_Database" sheetId="1" r:id="rId1"/>
    <sheet name="Sales Analytic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14" i="1" l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3" i="1"/>
  <c r="V4" i="1"/>
  <c r="V5" i="1"/>
  <c r="V6" i="1"/>
  <c r="V7" i="1"/>
  <c r="V8" i="1"/>
  <c r="V9" i="1"/>
  <c r="V10" i="1"/>
  <c r="V11" i="1"/>
  <c r="V12" i="1"/>
  <c r="V13" i="1"/>
  <c r="K5" i="2"/>
  <c r="K6" i="2"/>
  <c r="K7" i="2"/>
  <c r="K8" i="2"/>
  <c r="K9" i="2"/>
  <c r="K10" i="2"/>
  <c r="K11" i="2"/>
  <c r="K4" i="2"/>
  <c r="H5" i="2"/>
  <c r="H6" i="2"/>
  <c r="H7" i="2"/>
  <c r="H4" i="2"/>
  <c r="B14" i="2"/>
  <c r="B13" i="2"/>
  <c r="B9" i="2"/>
  <c r="B8" i="2"/>
  <c r="B7" i="2"/>
  <c r="B6" i="2"/>
  <c r="B4" i="2"/>
  <c r="B3" i="2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X2" i="1"/>
  <c r="W2" i="1"/>
  <c r="V2" i="1"/>
  <c r="U2" i="1"/>
  <c r="T2" i="1"/>
  <c r="E6" i="2" l="1"/>
  <c r="E5" i="2"/>
  <c r="E4" i="2"/>
  <c r="B5" i="2"/>
  <c r="B12" i="2"/>
  <c r="B11" i="2"/>
  <c r="B10" i="2"/>
  <c r="P2" i="1"/>
  <c r="Q2" i="1" s="1"/>
</calcChain>
</file>

<file path=xl/sharedStrings.xml><?xml version="1.0" encoding="utf-8"?>
<sst xmlns="http://schemas.openxmlformats.org/spreadsheetml/2006/main" count="1257" uniqueCount="441">
  <si>
    <t>Lead ID</t>
  </si>
  <si>
    <t>Company Name</t>
  </si>
  <si>
    <t>Industry</t>
  </si>
  <si>
    <t>Country</t>
  </si>
  <si>
    <t>City</t>
  </si>
  <si>
    <t>Company Size</t>
  </si>
  <si>
    <t>Contact Name</t>
  </si>
  <si>
    <t>Job Title</t>
  </si>
  <si>
    <t>Lead Source</t>
  </si>
  <si>
    <t>Estimated Deal Value</t>
  </si>
  <si>
    <t>Website</t>
  </si>
  <si>
    <t>Email</t>
  </si>
  <si>
    <t>Contact Status</t>
  </si>
  <si>
    <t>Last Contact Date</t>
  </si>
  <si>
    <t>Next Follow-up</t>
  </si>
  <si>
    <t>Lead Score</t>
  </si>
  <si>
    <t>Lead Category</t>
  </si>
  <si>
    <t>Sales Stage</t>
  </si>
  <si>
    <t>Deal Status</t>
  </si>
  <si>
    <t>Industry Score</t>
  </si>
  <si>
    <t>Company Size Score</t>
  </si>
  <si>
    <t>Country Score</t>
  </si>
  <si>
    <t>Deal Value Score</t>
  </si>
  <si>
    <t>Engagement Score</t>
  </si>
  <si>
    <t>L001</t>
  </si>
  <si>
    <t>Nova Retail</t>
  </si>
  <si>
    <t>Retail</t>
  </si>
  <si>
    <t>Australia</t>
  </si>
  <si>
    <t>Melbourne</t>
  </si>
  <si>
    <t>51-200</t>
  </si>
  <si>
    <t>Liam Carter</t>
  </si>
  <si>
    <t>Sales Director</t>
  </si>
  <si>
    <t>Meeting Booked</t>
  </si>
  <si>
    <t>Meeting</t>
  </si>
  <si>
    <t>Open</t>
  </si>
  <si>
    <t>L002</t>
  </si>
  <si>
    <t>UrbanBuild</t>
  </si>
  <si>
    <t>Construction</t>
  </si>
  <si>
    <t>UAE</t>
  </si>
  <si>
    <t>Dubai</t>
  </si>
  <si>
    <t>201-500</t>
  </si>
  <si>
    <t>Omar Hassan</t>
  </si>
  <si>
    <t>Procurement Manager</t>
  </si>
  <si>
    <t>Referral</t>
  </si>
  <si>
    <t>Replied</t>
  </si>
  <si>
    <t>Qualified</t>
  </si>
  <si>
    <t>L003</t>
  </si>
  <si>
    <t>GreenFoods</t>
  </si>
  <si>
    <t>Food &amp; Beverage</t>
  </si>
  <si>
    <t>India</t>
  </si>
  <si>
    <t>Mumbai</t>
  </si>
  <si>
    <t>Aarav Mehta</t>
  </si>
  <si>
    <t>Business Development Manager</t>
  </si>
  <si>
    <t>Email Campaign</t>
  </si>
  <si>
    <t>Email Opened</t>
  </si>
  <si>
    <t>Contacted</t>
  </si>
  <si>
    <t>L004</t>
  </si>
  <si>
    <t>TechServe</t>
  </si>
  <si>
    <t>IT Services</t>
  </si>
  <si>
    <t>Singapore</t>
  </si>
  <si>
    <t>11-50</t>
  </si>
  <si>
    <t>Daniel Tan</t>
  </si>
  <si>
    <t>Operations Manager</t>
  </si>
  <si>
    <t>No Response</t>
  </si>
  <si>
    <t>L005</t>
  </si>
  <si>
    <t>Oceanic Travel</t>
  </si>
  <si>
    <t>Travel</t>
  </si>
  <si>
    <t>Sydney</t>
  </si>
  <si>
    <t>Ethan Brooks</t>
  </si>
  <si>
    <t>General Manager</t>
  </si>
  <si>
    <t>LinkedIn</t>
  </si>
  <si>
    <t>L006</t>
  </si>
  <si>
    <t>BrightMart</t>
  </si>
  <si>
    <t>Brisbane</t>
  </si>
  <si>
    <t>Sophie Williams</t>
  </si>
  <si>
    <t>Head of Sales</t>
  </si>
  <si>
    <t>L007</t>
  </si>
  <si>
    <t>MetroBuild</t>
  </si>
  <si>
    <t>Pune</t>
  </si>
  <si>
    <t>Rohan Patil</t>
  </si>
  <si>
    <t>Operations Director</t>
  </si>
  <si>
    <t>L008</t>
  </si>
  <si>
    <t>FreshBite</t>
  </si>
  <si>
    <t>Emma Wilson</t>
  </si>
  <si>
    <t>Marketing Manager</t>
  </si>
  <si>
    <t>L009</t>
  </si>
  <si>
    <t>CloudAxis</t>
  </si>
  <si>
    <t>Ryan Lee</t>
  </si>
  <si>
    <t>IT Manager</t>
  </si>
  <si>
    <t>L010</t>
  </si>
  <si>
    <t>DesertHomes</t>
  </si>
  <si>
    <t>Ahmed Khan</t>
  </si>
  <si>
    <t>Business Development Director</t>
  </si>
  <si>
    <t>L011</t>
  </si>
  <si>
    <t>HealthFirst</t>
  </si>
  <si>
    <t>Healthcare</t>
  </si>
  <si>
    <t>Arjun Sharma</t>
  </si>
  <si>
    <t>Retail Operations Manager</t>
  </si>
  <si>
    <t>L012</t>
  </si>
  <si>
    <t>EduSpark</t>
  </si>
  <si>
    <t>Education</t>
  </si>
  <si>
    <t>Olivia Brown</t>
  </si>
  <si>
    <t>Commercial Manager</t>
  </si>
  <si>
    <t>L013</t>
  </si>
  <si>
    <t>LogiCore</t>
  </si>
  <si>
    <t>Logistics</t>
  </si>
  <si>
    <t>Kevin Lim</t>
  </si>
  <si>
    <t>Logistics Manager</t>
  </si>
  <si>
    <t>L014</t>
  </si>
  <si>
    <t>BlueWave</t>
  </si>
  <si>
    <t>Perth</t>
  </si>
  <si>
    <t>Jack Taylor</t>
  </si>
  <si>
    <t>Travel Operations Manager</t>
  </si>
  <si>
    <t>L015</t>
  </si>
  <si>
    <t>FinEdge</t>
  </si>
  <si>
    <t>Professional Services</t>
  </si>
  <si>
    <t>Abu Dhabi</t>
  </si>
  <si>
    <t>Yusuf Ali</t>
  </si>
  <si>
    <t>Managing Director</t>
  </si>
  <si>
    <t>L016</t>
  </si>
  <si>
    <t>PrimeRetail</t>
  </si>
  <si>
    <t>Bengaluru</t>
  </si>
  <si>
    <t>Aditya Rao</t>
  </si>
  <si>
    <t>Store Operations Manager</t>
  </si>
  <si>
    <t>L017</t>
  </si>
  <si>
    <t>BuildPro</t>
  </si>
  <si>
    <t>Noah Anderson</t>
  </si>
  <si>
    <t>Project Manager</t>
  </si>
  <si>
    <t>L018</t>
  </si>
  <si>
    <t>FoodHub</t>
  </si>
  <si>
    <t>Delhi</t>
  </si>
  <si>
    <t>Priya Shah</t>
  </si>
  <si>
    <t>Sales Manager</t>
  </si>
  <si>
    <t>L019</t>
  </si>
  <si>
    <t>NextGen</t>
  </si>
  <si>
    <t>Marcus Wong</t>
  </si>
  <si>
    <t>L020</t>
  </si>
  <si>
    <t>MedLink</t>
  </si>
  <si>
    <t>Daniel Wong</t>
  </si>
  <si>
    <t>Procurement Director</t>
  </si>
  <si>
    <t>L021</t>
  </si>
  <si>
    <t>LearnPlus</t>
  </si>
  <si>
    <t>Neha Kapoor</t>
  </si>
  <si>
    <t>L022</t>
  </si>
  <si>
    <t>FreightFlow</t>
  </si>
  <si>
    <t>James Miller</t>
  </si>
  <si>
    <t>Supply Chain Director</t>
  </si>
  <si>
    <t>L023</t>
  </si>
  <si>
    <t>TravelNest</t>
  </si>
  <si>
    <t>Sara Ahmed</t>
  </si>
  <si>
    <t>Travel Sales Manager</t>
  </si>
  <si>
    <t>L024</t>
  </si>
  <si>
    <t>MarketWise</t>
  </si>
  <si>
    <t>Vikram Joshi</t>
  </si>
  <si>
    <t>Business Consultant</t>
  </si>
  <si>
    <t>L025</t>
  </si>
  <si>
    <t>ShopSphere</t>
  </si>
  <si>
    <t>Sophia Chen</t>
  </si>
  <si>
    <t>Retail Manager</t>
  </si>
  <si>
    <t>L026</t>
  </si>
  <si>
    <t>StyleStreet</t>
  </si>
  <si>
    <t>Isabella Moore</t>
  </si>
  <si>
    <t>Marketing Director</t>
  </si>
  <si>
    <t>L027</t>
  </si>
  <si>
    <t>BuildRight</t>
  </si>
  <si>
    <t>Lucas Martin</t>
  </si>
  <si>
    <t>Project Director</t>
  </si>
  <si>
    <t>L028</t>
  </si>
  <si>
    <t>GreenPlate</t>
  </si>
  <si>
    <t>Fatima Noor</t>
  </si>
  <si>
    <t>L029</t>
  </si>
  <si>
    <t>DataBridge</t>
  </si>
  <si>
    <t>Aryan Gupta</t>
  </si>
  <si>
    <t>Technology Director</t>
  </si>
  <si>
    <t>L030</t>
  </si>
  <si>
    <t>CarePlus</t>
  </si>
  <si>
    <t>Grace Taylor</t>
  </si>
  <si>
    <t>Healthcare Operations Manager</t>
  </si>
  <si>
    <t>L031</t>
  </si>
  <si>
    <t>SkillWorks</t>
  </si>
  <si>
    <t>Benjamin Scott</t>
  </si>
  <si>
    <t>Training Manager</t>
  </si>
  <si>
    <t>L032</t>
  </si>
  <si>
    <t>QuickShip</t>
  </si>
  <si>
    <t>Karan Desai</t>
  </si>
  <si>
    <t>Logistics Director</t>
  </si>
  <si>
    <t>L033</t>
  </si>
  <si>
    <t>WanderWorld</t>
  </si>
  <si>
    <t>Mia Johnson</t>
  </si>
  <si>
    <t>Travel Marketing Manager</t>
  </si>
  <si>
    <t>L034</t>
  </si>
  <si>
    <t>AdvisoryPro</t>
  </si>
  <si>
    <t>Ali Rahman</t>
  </si>
  <si>
    <t>L035</t>
  </si>
  <si>
    <t>ValueMart</t>
  </si>
  <si>
    <t>Rahul Verma</t>
  </si>
  <si>
    <t>Retail Operations Director</t>
  </si>
  <si>
    <t>L036</t>
  </si>
  <si>
    <t>ConstructX</t>
  </si>
  <si>
    <t>William Harris</t>
  </si>
  <si>
    <t>Construction Director</t>
  </si>
  <si>
    <t>L037</t>
  </si>
  <si>
    <t>TasteCo</t>
  </si>
  <si>
    <t>Chloe Davis</t>
  </si>
  <si>
    <t>Restaurant Operations Manager</t>
  </si>
  <si>
    <t>L038</t>
  </si>
  <si>
    <t>SoftPeak</t>
  </si>
  <si>
    <t>Nathan Clark</t>
  </si>
  <si>
    <t>IT Sales Director</t>
  </si>
  <si>
    <t>L039</t>
  </si>
  <si>
    <t>WellCare</t>
  </si>
  <si>
    <t>Zain Malik</t>
  </si>
  <si>
    <t>Healthcare Director</t>
  </si>
  <si>
    <t>L040</t>
  </si>
  <si>
    <t>StudyHub</t>
  </si>
  <si>
    <t>Ananya Singh</t>
  </si>
  <si>
    <t>Academic Director</t>
  </si>
  <si>
    <t>L041</t>
  </si>
  <si>
    <t>CargoLink</t>
  </si>
  <si>
    <t>Ethan Wong</t>
  </si>
  <si>
    <t>Supply Chain Manager</t>
  </si>
  <si>
    <t>L042</t>
  </si>
  <si>
    <t>ExploreMore</t>
  </si>
  <si>
    <t>Meera Kulkarni</t>
  </si>
  <si>
    <t>L043</t>
  </si>
  <si>
    <t>InsightWorks</t>
  </si>
  <si>
    <t>Oliver Smith</t>
  </si>
  <si>
    <t>Business Strategy Director</t>
  </si>
  <si>
    <t>L044</t>
  </si>
  <si>
    <t>EverydayStore</t>
  </si>
  <si>
    <t>Hassan Ibrahim</t>
  </si>
  <si>
    <t>L045</t>
  </si>
  <si>
    <t>UrbanConstruct</t>
  </si>
  <si>
    <t>Kabir Malhotra</t>
  </si>
  <si>
    <t>Construction Manager</t>
  </si>
  <si>
    <t>L046</t>
  </si>
  <si>
    <t>FreshBasket</t>
  </si>
  <si>
    <t>Emily Johnson</t>
  </si>
  <si>
    <t>L047</t>
  </si>
  <si>
    <t>CodeCraft</t>
  </si>
  <si>
    <t>Vivek Nair</t>
  </si>
  <si>
    <t>IT Operations Manager</t>
  </si>
  <si>
    <t>L048</t>
  </si>
  <si>
    <t>HomeStyle</t>
  </si>
  <si>
    <t>Lily Zhang</t>
  </si>
  <si>
    <t>L049</t>
  </si>
  <si>
    <t>SkyBuild</t>
  </si>
  <si>
    <t>Michael Adams</t>
  </si>
  <si>
    <t>L050</t>
  </si>
  <si>
    <t>MedicarePlus</t>
  </si>
  <si>
    <t>Riya Patel</t>
  </si>
  <si>
    <t>Healthcare Manager</t>
  </si>
  <si>
    <t>L051</t>
  </si>
  <si>
    <t>AcademyOne</t>
  </si>
  <si>
    <t>Daniel Cooper</t>
  </si>
  <si>
    <t>Academic Manager</t>
  </si>
  <si>
    <t>L052</t>
  </si>
  <si>
    <t>TransMove</t>
  </si>
  <si>
    <t>Aisha Khan</t>
  </si>
  <si>
    <t>L053</t>
  </si>
  <si>
    <t>GoExplore</t>
  </si>
  <si>
    <t>Ethan Brown</t>
  </si>
  <si>
    <t>Travel Director</t>
  </si>
  <si>
    <t>L054</t>
  </si>
  <si>
    <t>BusinessEdge</t>
  </si>
  <si>
    <t>Nikhil Shah</t>
  </si>
  <si>
    <t>L055</t>
  </si>
  <si>
    <t>MarketMax</t>
  </si>
  <si>
    <t>Charlotte Evans</t>
  </si>
  <si>
    <t>Retail Marketing Manager</t>
  </si>
  <si>
    <t>L056</t>
  </si>
  <si>
    <t>BuildSmart</t>
  </si>
  <si>
    <t>Rohan Mehta</t>
  </si>
  <si>
    <t>Construction Operations Manager</t>
  </si>
  <si>
    <t>L057</t>
  </si>
  <si>
    <t>FoodWorld</t>
  </si>
  <si>
    <t>Yasir Ahmed</t>
  </si>
  <si>
    <t>Food Services Director</t>
  </si>
  <si>
    <t>L058</t>
  </si>
  <si>
    <t>TechNova</t>
  </si>
  <si>
    <t>Jason Lim</t>
  </si>
  <si>
    <t>Technology Sales Manager</t>
  </si>
  <si>
    <t>L059</t>
  </si>
  <si>
    <t>HealthPoint</t>
  </si>
  <si>
    <t>Anika Rao</t>
  </si>
  <si>
    <t>L060</t>
  </si>
  <si>
    <t>NextLearn</t>
  </si>
  <si>
    <t>Sanjay Joshi</t>
  </si>
  <si>
    <t>Education Manager</t>
  </si>
  <si>
    <t>L061</t>
  </si>
  <si>
    <t>GlobalFreight</t>
  </si>
  <si>
    <t>Christopher Wilson</t>
  </si>
  <si>
    <t>L062</t>
  </si>
  <si>
    <t>TripAdvisorPro</t>
  </si>
  <si>
    <t>Layla Hassan</t>
  </si>
  <si>
    <t>Travel Sales Director</t>
  </si>
  <si>
    <t>L063</t>
  </si>
  <si>
    <t>StrategyHub</t>
  </si>
  <si>
    <t>Aman Gupta</t>
  </si>
  <si>
    <t>L064</t>
  </si>
  <si>
    <t>SmartShop</t>
  </si>
  <si>
    <t>Mei Chen</t>
  </si>
  <si>
    <t>Retail Director</t>
  </si>
  <si>
    <t>L065</t>
  </si>
  <si>
    <t>BuildMasters</t>
  </si>
  <si>
    <t>George Miller</t>
  </si>
  <si>
    <t>L066</t>
  </si>
  <si>
    <t>FreshChoice</t>
  </si>
  <si>
    <t>Simran Kaur</t>
  </si>
  <si>
    <t>Restaurant Manager</t>
  </si>
  <si>
    <t>L067</t>
  </si>
  <si>
    <t>TechSphere</t>
  </si>
  <si>
    <t>Ryan Thompson</t>
  </si>
  <si>
    <t>L068</t>
  </si>
  <si>
    <t>HomeMarket</t>
  </si>
  <si>
    <t>Sara Williams</t>
  </si>
  <si>
    <t>L069</t>
  </si>
  <si>
    <t>BuildZone</t>
  </si>
  <si>
    <t>Kunal Sharma</t>
  </si>
  <si>
    <t>L070</t>
  </si>
  <si>
    <t>WellnessCare</t>
  </si>
  <si>
    <t>Hannah Lee</t>
  </si>
  <si>
    <t>L071</t>
  </si>
  <si>
    <t>KnowledgePro</t>
  </si>
  <si>
    <t>Mohammed Ali</t>
  </si>
  <si>
    <t>Education Director</t>
  </si>
  <si>
    <t>L072</t>
  </si>
  <si>
    <t>FastFreight</t>
  </si>
  <si>
    <t>Raj Malhotra</t>
  </si>
  <si>
    <t>L073</t>
  </si>
  <si>
    <t>TravelConnect</t>
  </si>
  <si>
    <t>Ella Wilson</t>
  </si>
  <si>
    <t>Travel Manager</t>
  </si>
  <si>
    <t>L074</t>
  </si>
  <si>
    <t>BusinessPlus</t>
  </si>
  <si>
    <t>Siddharth Jain</t>
  </si>
  <si>
    <t>L075</t>
  </si>
  <si>
    <t>ShopWorld</t>
  </si>
  <si>
    <t>Emma Davis</t>
  </si>
  <si>
    <t>L076</t>
  </si>
  <si>
    <t>ConstructPro</t>
  </si>
  <si>
    <t>Alex Wong</t>
  </si>
  <si>
    <t>L077</t>
  </si>
  <si>
    <t>FoodConnect</t>
  </si>
  <si>
    <t>Maya Patel</t>
  </si>
  <si>
    <t>L078</t>
  </si>
  <si>
    <t>CloudWorks</t>
  </si>
  <si>
    <t>Kevin Brown</t>
  </si>
  <si>
    <t>IT Operations Director</t>
  </si>
  <si>
    <t>L079</t>
  </si>
  <si>
    <t>CareHealth</t>
  </si>
  <si>
    <t>Sana Khan</t>
  </si>
  <si>
    <t>L080</t>
  </si>
  <si>
    <t>StudySmart</t>
  </si>
  <si>
    <t>Daniel Chen</t>
  </si>
  <si>
    <t>L081</t>
  </si>
  <si>
    <t>LogisticsOne</t>
  </si>
  <si>
    <t>Arjun Mehta</t>
  </si>
  <si>
    <t>L082</t>
  </si>
  <si>
    <t>TravelWorld</t>
  </si>
  <si>
    <t>Sophie Martin</t>
  </si>
  <si>
    <t>L083</t>
  </si>
  <si>
    <t>ConsultPro</t>
  </si>
  <si>
    <t>Adil Khan</t>
  </si>
  <si>
    <t>Business Strategy Manager</t>
  </si>
  <si>
    <t>L084</t>
  </si>
  <si>
    <t>RetailHub</t>
  </si>
  <si>
    <t>Emily Brown</t>
  </si>
  <si>
    <t>L085</t>
  </si>
  <si>
    <t>BuildWorks</t>
  </si>
  <si>
    <t>Ritesh Patil</t>
  </si>
  <si>
    <t>L086</t>
  </si>
  <si>
    <t>FoodWorks</t>
  </si>
  <si>
    <t>Lucas Wong</t>
  </si>
  <si>
    <t>Food Services Manager</t>
  </si>
  <si>
    <t>L087</t>
  </si>
  <si>
    <t>TechFlow</t>
  </si>
  <si>
    <t>David Lee</t>
  </si>
  <si>
    <t>L088</t>
  </si>
  <si>
    <t>HealthWorks</t>
  </si>
  <si>
    <t>Naina Sharma</t>
  </si>
  <si>
    <t>L089</t>
  </si>
  <si>
    <t>EduWorld</t>
  </si>
  <si>
    <t>Aarav Singh</t>
  </si>
  <si>
    <t>L090</t>
  </si>
  <si>
    <t>CargoWorks</t>
  </si>
  <si>
    <t>Marcus Tan</t>
  </si>
  <si>
    <t>L091</t>
  </si>
  <si>
    <t>AdventurePro</t>
  </si>
  <si>
    <t>Jake Wilson</t>
  </si>
  <si>
    <t>L092</t>
  </si>
  <si>
    <t>BusinessWorks</t>
  </si>
  <si>
    <t>Ibrahim Khan</t>
  </si>
  <si>
    <t>L093</t>
  </si>
  <si>
    <t>MarketPlace</t>
  </si>
  <si>
    <t>Pooja Desai</t>
  </si>
  <si>
    <t>L094</t>
  </si>
  <si>
    <t>BuildWorld</t>
  </si>
  <si>
    <t>Noah Williams</t>
  </si>
  <si>
    <t>L095</t>
  </si>
  <si>
    <t>FoodMarket</t>
  </si>
  <si>
    <t>Ayesha Khan</t>
  </si>
  <si>
    <t>L096</t>
  </si>
  <si>
    <t>TechWorks</t>
  </si>
  <si>
    <t>Ryan Chen</t>
  </si>
  <si>
    <t>IT Sales Manager</t>
  </si>
  <si>
    <t>L097</t>
  </si>
  <si>
    <t>HealthPlus</t>
  </si>
  <si>
    <t>Sonia Patel</t>
  </si>
  <si>
    <t>L098</t>
  </si>
  <si>
    <t>EduPlus</t>
  </si>
  <si>
    <t>Ethan Taylor</t>
  </si>
  <si>
    <t>L099</t>
  </si>
  <si>
    <t>FreightPlus</t>
  </si>
  <si>
    <t>Karan Shah</t>
  </si>
  <si>
    <t>L100</t>
  </si>
  <si>
    <t>TravelPlus</t>
  </si>
  <si>
    <t>Olivia Wilson</t>
  </si>
  <si>
    <t>B2B Sales Funnel Analytics</t>
  </si>
  <si>
    <t>Total Leads</t>
  </si>
  <si>
    <t>Number of Leads</t>
  </si>
  <si>
    <t>Leads</t>
  </si>
  <si>
    <t>Total Pipeline Value</t>
  </si>
  <si>
    <t>Hot</t>
  </si>
  <si>
    <t>New Lead</t>
  </si>
  <si>
    <t>Hot Leads</t>
  </si>
  <si>
    <t>Warm</t>
  </si>
  <si>
    <t>Meetings</t>
  </si>
  <si>
    <t>Cold</t>
  </si>
  <si>
    <t>Qualified Leads</t>
  </si>
  <si>
    <t>Won Deals</t>
  </si>
  <si>
    <t>Proposal</t>
  </si>
  <si>
    <t>Lost Deals</t>
  </si>
  <si>
    <t>Negotiation</t>
  </si>
  <si>
    <t>Conversion Rate</t>
  </si>
  <si>
    <t>Won</t>
  </si>
  <si>
    <t>Qualification Rate</t>
  </si>
  <si>
    <t>Lost</t>
  </si>
  <si>
    <t>Meeting Rate</t>
  </si>
  <si>
    <t>Average Deal Value</t>
  </si>
  <si>
    <t>Open Pipeline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</si>
</sst>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49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 Distribution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Analytics'!$E$3</c:f>
              <c:strCache>
                <c:ptCount val="1"/>
                <c:pt idx="0">
                  <c:v>Number of Leads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Analytics'!$D$4:$D$6</c:f>
              <c:strCache>
                <c:ptCount val="3"/>
                <c:pt idx="0">
                  <c:v>Hot</c:v>
                </c:pt>
                <c:pt idx="1">
                  <c:v>Warm</c:v>
                </c:pt>
                <c:pt idx="2">
                  <c:v>Cold</c:v>
                </c:pt>
              </c:strCache>
            </c:strRef>
          </c:cat>
          <c:val>
            <c:numRef>
              <c:f>'Sales Analytics'!$E$4:$E$6</c:f>
              <c:numCache>
                <c:formatCode>General</c:formatCode>
                <c:ptCount val="3"/>
                <c:pt idx="0">
                  <c:v>29</c:v>
                </c:pt>
                <c:pt idx="1">
                  <c:v>44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5-4246-80FA-98E6323E3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194632"/>
        <c:axId val="2007235592"/>
      </c:barChart>
      <c:catAx>
        <c:axId val="2007194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235592"/>
        <c:crosses val="autoZero"/>
        <c:auto val="1"/>
        <c:lblAlgn val="ctr"/>
        <c:lblOffset val="100"/>
        <c:noMultiLvlLbl val="0"/>
      </c:catAx>
      <c:valAx>
        <c:axId val="200723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194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 by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Analytics'!$H$3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Analytics'!$G$4:$G$7</c:f>
              <c:strCache>
                <c:ptCount val="4"/>
                <c:pt idx="0">
                  <c:v>Website</c:v>
                </c:pt>
                <c:pt idx="1">
                  <c:v>Referral</c:v>
                </c:pt>
                <c:pt idx="2">
                  <c:v>LinkedIn</c:v>
                </c:pt>
                <c:pt idx="3">
                  <c:v>Email Campaign</c:v>
                </c:pt>
              </c:strCache>
            </c:strRef>
          </c:cat>
          <c:val>
            <c:numRef>
              <c:f>'Sales Analytics'!$H$4:$H$7</c:f>
              <c:numCache>
                <c:formatCode>General</c:formatCode>
                <c:ptCount val="4"/>
                <c:pt idx="0">
                  <c:v>31</c:v>
                </c:pt>
                <c:pt idx="1">
                  <c:v>27</c:v>
                </c:pt>
                <c:pt idx="2">
                  <c:v>22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7-40F9-B655-031ADD2DD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9710216"/>
        <c:axId val="1999712264"/>
      </c:barChart>
      <c:catAx>
        <c:axId val="1999710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712264"/>
        <c:crosses val="autoZero"/>
        <c:auto val="1"/>
        <c:lblAlgn val="ctr"/>
        <c:lblOffset val="100"/>
        <c:noMultiLvlLbl val="0"/>
      </c:catAx>
      <c:valAx>
        <c:axId val="1999712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710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Pipeline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Analytics'!$K$3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Analytics'!$J$4:$J$11</c:f>
              <c:strCache>
                <c:ptCount val="8"/>
                <c:pt idx="0">
                  <c:v>New Lead</c:v>
                </c:pt>
                <c:pt idx="1">
                  <c:v>Contacted</c:v>
                </c:pt>
                <c:pt idx="2">
                  <c:v>Qualified</c:v>
                </c:pt>
                <c:pt idx="3">
                  <c:v>Meeting</c:v>
                </c:pt>
                <c:pt idx="4">
                  <c:v>Proposal</c:v>
                </c:pt>
                <c:pt idx="5">
                  <c:v>Negotiation</c:v>
                </c:pt>
                <c:pt idx="6">
                  <c:v>Won</c:v>
                </c:pt>
                <c:pt idx="7">
                  <c:v>Lost</c:v>
                </c:pt>
              </c:strCache>
            </c:strRef>
          </c:cat>
          <c:val>
            <c:numRef>
              <c:f>'Sales Analytics'!$K$4:$K$11</c:f>
              <c:numCache>
                <c:formatCode>General</c:formatCode>
                <c:ptCount val="8"/>
                <c:pt idx="0">
                  <c:v>0</c:v>
                </c:pt>
                <c:pt idx="1">
                  <c:v>27</c:v>
                </c:pt>
                <c:pt idx="2">
                  <c:v>34</c:v>
                </c:pt>
                <c:pt idx="3">
                  <c:v>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7-4BF3-927F-794E8EC6F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158535"/>
        <c:axId val="147160583"/>
      </c:barChart>
      <c:catAx>
        <c:axId val="147158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60583"/>
        <c:crosses val="autoZero"/>
        <c:auto val="1"/>
        <c:lblAlgn val="ctr"/>
        <c:lblOffset val="100"/>
        <c:noMultiLvlLbl val="0"/>
      </c:catAx>
      <c:valAx>
        <c:axId val="147160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58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85725</xdr:rowOff>
    </xdr:from>
    <xdr:to>
      <xdr:col>4</xdr:col>
      <xdr:colOff>800100</xdr:colOff>
      <xdr:row>29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F849F2-2560-CA85-9F54-89A2A68AA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581025</xdr:colOff>
      <xdr:row>15</xdr:row>
      <xdr:rowOff>104775</xdr:rowOff>
    </xdr:from>
    <xdr:to>
      <xdr:col>19</xdr:col>
      <xdr:colOff>390525</xdr:colOff>
      <xdr:row>29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25A2EA-F1E9-592F-09EE-28A74141B297}"/>
            </a:ext>
            <a:ext uri="{147F2762-F138-4A5C-976F-8EAC2B608ADB}">
              <a16:predDERef xmlns:a16="http://schemas.microsoft.com/office/drawing/2014/main" pred="{E2F849F2-2560-CA85-9F54-89A2A68AA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923925</xdr:colOff>
      <xdr:row>15</xdr:row>
      <xdr:rowOff>95250</xdr:rowOff>
    </xdr:from>
    <xdr:to>
      <xdr:col>11</xdr:col>
      <xdr:colOff>447675</xdr:colOff>
      <xdr:row>29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A4326F-731B-5D8D-560F-C359FB0A0265}"/>
            </a:ext>
            <a:ext uri="{147F2762-F138-4A5C-976F-8EAC2B608ADB}">
              <a16:predDERef xmlns:a16="http://schemas.microsoft.com/office/drawing/2014/main" pred="{D825A2EA-F1E9-592F-09EE-28A74141B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"/>
  <sheetViews>
    <sheetView tabSelected="1" topLeftCell="N93" workbookViewId="0">
      <selection activeCell="V2" sqref="V2:V101"/>
    </sheetView>
  </sheetViews>
  <sheetFormatPr defaultRowHeight="15"/>
  <cols>
    <col min="2" max="2" width="14.7109375" customWidth="1"/>
    <col min="3" max="3" width="16.140625" bestFit="1" customWidth="1"/>
    <col min="5" max="5" width="10.85546875" bestFit="1" customWidth="1"/>
    <col min="6" max="6" width="13.5703125" customWidth="1"/>
    <col min="7" max="7" width="18.140625" bestFit="1" customWidth="1"/>
    <col min="8" max="8" width="31.5703125" bestFit="1" customWidth="1"/>
    <col min="9" max="9" width="15.140625" bestFit="1" customWidth="1"/>
    <col min="10" max="10" width="18.85546875" customWidth="1"/>
    <col min="12" max="12" width="9.140625" customWidth="1"/>
    <col min="13" max="14" width="16.5703125" customWidth="1"/>
    <col min="15" max="15" width="13.5703125" customWidth="1"/>
    <col min="16" max="16" width="10" customWidth="1"/>
    <col min="17" max="17" width="13.85546875" bestFit="1" customWidth="1"/>
    <col min="18" max="18" width="11" bestFit="1" customWidth="1"/>
    <col min="19" max="19" width="11.140625" bestFit="1" customWidth="1"/>
    <col min="20" max="20" width="14" bestFit="1" customWidth="1"/>
    <col min="21" max="21" width="19.140625" bestFit="1" customWidth="1"/>
    <col min="22" max="22" width="13.7109375" bestFit="1" customWidth="1"/>
    <col min="23" max="23" width="16.28515625" bestFit="1" customWidth="1"/>
    <col min="24" max="24" width="17.8554687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</row>
    <row r="2" spans="1: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s="2" t="s">
        <v>29</v>
      </c>
      <c r="G2" t="s">
        <v>30</v>
      </c>
      <c r="H2" t="s">
        <v>31</v>
      </c>
      <c r="I2" t="s">
        <v>10</v>
      </c>
      <c r="J2">
        <v>18000</v>
      </c>
      <c r="M2" t="s">
        <v>32</v>
      </c>
      <c r="N2" s="4">
        <v>46287</v>
      </c>
      <c r="O2" s="4">
        <v>46294</v>
      </c>
      <c r="P2">
        <f>SUM(T2:X2)</f>
        <v>88</v>
      </c>
      <c r="Q2" t="str">
        <f>IF(P2&gt;=80,"Hot",IF(P2&gt;=60,"Warm","Cold"))</f>
        <v>Hot</v>
      </c>
      <c r="R2" t="s">
        <v>33</v>
      </c>
      <c r="S2" t="s">
        <v>34</v>
      </c>
      <c r="T2">
        <f>IF(C2="IT Services",25,IF(C2="Retail",25,IF(C2="Construction",20,IF(C2="Food &amp; Beverage",20,IF(C2="Travel",15,5)))))</f>
        <v>25</v>
      </c>
      <c r="U2">
        <f>IF(F2="201-500",20,IF(F2="51-200",15,IF(F2="11-50",10,5)))</f>
        <v>15</v>
      </c>
      <c r="V2">
        <f>IF(D2="Australia",20,IF(D2="Singapore",18,IF(D2="UAE",15,IF(D2="India",12,5))))</f>
        <v>20</v>
      </c>
      <c r="W2">
        <f>IF(J2&gt;20000,25,IF(J2&gt;=10000,18,IF(J2&gt;=5000,10,5)))</f>
        <v>18</v>
      </c>
      <c r="X2">
        <f>IF(M2="Meeting Booked",10,IF(M2="Replied",8,IF(M2="Email Opened",5,0)))</f>
        <v>10</v>
      </c>
    </row>
    <row r="3" spans="1: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s="2" t="s">
        <v>40</v>
      </c>
      <c r="G3" t="s">
        <v>41</v>
      </c>
      <c r="H3" t="s">
        <v>42</v>
      </c>
      <c r="I3" t="s">
        <v>43</v>
      </c>
      <c r="J3">
        <v>25000</v>
      </c>
      <c r="M3" t="s">
        <v>44</v>
      </c>
      <c r="N3" s="4">
        <v>46286</v>
      </c>
      <c r="O3" s="4">
        <v>46293</v>
      </c>
      <c r="P3">
        <f t="shared" ref="P3:P66" si="0">SUM(T3:X3)</f>
        <v>88</v>
      </c>
      <c r="Q3" t="str">
        <f t="shared" ref="Q3:Q66" si="1">IF(P3&gt;=80,"Hot",IF(P3&gt;=60,"Warm","Cold"))</f>
        <v>Hot</v>
      </c>
      <c r="R3" t="s">
        <v>45</v>
      </c>
      <c r="S3" t="s">
        <v>34</v>
      </c>
      <c r="T3">
        <f t="shared" ref="T3:T66" si="2">IF(C3="IT Services",25,IF(C3="Retail",25,IF(C3="Construction",20,IF(C3="Food &amp; Beverage",20,IF(C3="Travel",15,5)))))</f>
        <v>20</v>
      </c>
      <c r="U3">
        <f t="shared" ref="U3:U66" si="3">IF(F3="201-500",20,IF(F3="51-200",15,IF(F3="11-50",10,5)))</f>
        <v>20</v>
      </c>
      <c r="V3">
        <f t="shared" ref="V3:V66" si="4">IF(D3="Australia",20,IF(D3="Singapore",18,IF(D3="UAE",15,IF(D3="India",12,5))))</f>
        <v>15</v>
      </c>
      <c r="W3">
        <f t="shared" ref="W3:W66" si="5">IF(J3&gt;20000,25,IF(J3&gt;=10000,18,IF(J3&gt;=5000,10,5)))</f>
        <v>25</v>
      </c>
      <c r="X3">
        <f t="shared" ref="X3:X66" si="6">IF(M3="Meeting Booked",10,IF(M3="Replied",8,IF(M3="Email Opened",5,0)))</f>
        <v>8</v>
      </c>
    </row>
    <row r="4" spans="1: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s="2" t="s">
        <v>29</v>
      </c>
      <c r="G4" t="s">
        <v>51</v>
      </c>
      <c r="H4" t="s">
        <v>52</v>
      </c>
      <c r="I4" t="s">
        <v>53</v>
      </c>
      <c r="J4">
        <v>12000</v>
      </c>
      <c r="M4" t="s">
        <v>54</v>
      </c>
      <c r="N4" s="4">
        <v>46285</v>
      </c>
      <c r="O4" s="4">
        <v>46292</v>
      </c>
      <c r="P4">
        <f t="shared" si="0"/>
        <v>70</v>
      </c>
      <c r="Q4" t="str">
        <f t="shared" si="1"/>
        <v>Warm</v>
      </c>
      <c r="R4" t="s">
        <v>55</v>
      </c>
      <c r="S4" t="s">
        <v>34</v>
      </c>
      <c r="T4">
        <f t="shared" si="2"/>
        <v>20</v>
      </c>
      <c r="U4">
        <f t="shared" si="3"/>
        <v>15</v>
      </c>
      <c r="V4">
        <f t="shared" si="4"/>
        <v>12</v>
      </c>
      <c r="W4">
        <f t="shared" si="5"/>
        <v>18</v>
      </c>
      <c r="X4">
        <f t="shared" si="6"/>
        <v>5</v>
      </c>
    </row>
    <row r="5" spans="1:25">
      <c r="A5" t="s">
        <v>56</v>
      </c>
      <c r="B5" t="s">
        <v>57</v>
      </c>
      <c r="C5" t="s">
        <v>58</v>
      </c>
      <c r="D5" t="s">
        <v>59</v>
      </c>
      <c r="E5" t="s">
        <v>59</v>
      </c>
      <c r="F5" s="3" t="s">
        <v>60</v>
      </c>
      <c r="G5" t="s">
        <v>61</v>
      </c>
      <c r="H5" t="s">
        <v>62</v>
      </c>
      <c r="I5" t="s">
        <v>10</v>
      </c>
      <c r="J5">
        <v>8000</v>
      </c>
      <c r="M5" t="s">
        <v>63</v>
      </c>
      <c r="N5" s="4">
        <v>46283</v>
      </c>
      <c r="O5" s="4">
        <v>46291</v>
      </c>
      <c r="P5">
        <f t="shared" si="0"/>
        <v>63</v>
      </c>
      <c r="Q5" t="str">
        <f t="shared" si="1"/>
        <v>Warm</v>
      </c>
      <c r="R5" t="s">
        <v>55</v>
      </c>
      <c r="S5" t="s">
        <v>34</v>
      </c>
      <c r="T5">
        <f t="shared" si="2"/>
        <v>25</v>
      </c>
      <c r="U5">
        <f t="shared" si="3"/>
        <v>10</v>
      </c>
      <c r="V5">
        <f t="shared" si="4"/>
        <v>18</v>
      </c>
      <c r="W5">
        <f t="shared" si="5"/>
        <v>10</v>
      </c>
      <c r="X5">
        <f t="shared" si="6"/>
        <v>0</v>
      </c>
    </row>
    <row r="6" spans="1:25">
      <c r="A6" t="s">
        <v>64</v>
      </c>
      <c r="B6" t="s">
        <v>65</v>
      </c>
      <c r="C6" t="s">
        <v>66</v>
      </c>
      <c r="D6" t="s">
        <v>27</v>
      </c>
      <c r="E6" t="s">
        <v>67</v>
      </c>
      <c r="F6" s="3" t="s">
        <v>60</v>
      </c>
      <c r="G6" t="s">
        <v>68</v>
      </c>
      <c r="H6" t="s">
        <v>69</v>
      </c>
      <c r="I6" t="s">
        <v>70</v>
      </c>
      <c r="J6">
        <v>15000</v>
      </c>
      <c r="M6" t="s">
        <v>32</v>
      </c>
      <c r="N6" s="4">
        <v>46288</v>
      </c>
      <c r="O6" s="4">
        <v>46295</v>
      </c>
      <c r="P6">
        <f t="shared" si="0"/>
        <v>73</v>
      </c>
      <c r="Q6" t="str">
        <f t="shared" si="1"/>
        <v>Warm</v>
      </c>
      <c r="R6" t="s">
        <v>33</v>
      </c>
      <c r="S6" t="s">
        <v>34</v>
      </c>
      <c r="T6">
        <f t="shared" si="2"/>
        <v>15</v>
      </c>
      <c r="U6">
        <f t="shared" si="3"/>
        <v>10</v>
      </c>
      <c r="V6">
        <f t="shared" si="4"/>
        <v>20</v>
      </c>
      <c r="W6">
        <f t="shared" si="5"/>
        <v>18</v>
      </c>
      <c r="X6">
        <f t="shared" si="6"/>
        <v>10</v>
      </c>
    </row>
    <row r="7" spans="1:25">
      <c r="A7" t="s">
        <v>71</v>
      </c>
      <c r="B7" t="s">
        <v>72</v>
      </c>
      <c r="C7" t="s">
        <v>26</v>
      </c>
      <c r="D7" t="s">
        <v>27</v>
      </c>
      <c r="E7" t="s">
        <v>73</v>
      </c>
      <c r="F7" t="s">
        <v>29</v>
      </c>
      <c r="G7" t="s">
        <v>74</v>
      </c>
      <c r="H7" t="s">
        <v>75</v>
      </c>
      <c r="I7" t="s">
        <v>43</v>
      </c>
      <c r="J7">
        <v>14500</v>
      </c>
      <c r="M7" t="s">
        <v>44</v>
      </c>
      <c r="N7" s="4">
        <v>46287</v>
      </c>
      <c r="O7" s="4">
        <v>46294</v>
      </c>
      <c r="P7">
        <f t="shared" si="0"/>
        <v>86</v>
      </c>
      <c r="Q7" t="str">
        <f t="shared" si="1"/>
        <v>Hot</v>
      </c>
      <c r="R7" t="s">
        <v>45</v>
      </c>
      <c r="S7" t="s">
        <v>34</v>
      </c>
      <c r="T7">
        <f t="shared" si="2"/>
        <v>25</v>
      </c>
      <c r="U7">
        <f t="shared" si="3"/>
        <v>15</v>
      </c>
      <c r="V7">
        <f t="shared" si="4"/>
        <v>20</v>
      </c>
      <c r="W7">
        <f t="shared" si="5"/>
        <v>18</v>
      </c>
      <c r="X7">
        <f t="shared" si="6"/>
        <v>8</v>
      </c>
    </row>
    <row r="8" spans="1:25">
      <c r="A8" t="s">
        <v>76</v>
      </c>
      <c r="B8" t="s">
        <v>77</v>
      </c>
      <c r="C8" t="s">
        <v>37</v>
      </c>
      <c r="D8" t="s">
        <v>49</v>
      </c>
      <c r="E8" t="s">
        <v>78</v>
      </c>
      <c r="F8" t="s">
        <v>40</v>
      </c>
      <c r="G8" t="s">
        <v>79</v>
      </c>
      <c r="H8" t="s">
        <v>80</v>
      </c>
      <c r="I8" t="s">
        <v>10</v>
      </c>
      <c r="J8">
        <v>22000</v>
      </c>
      <c r="M8" t="s">
        <v>32</v>
      </c>
      <c r="N8" s="4">
        <v>46286</v>
      </c>
      <c r="O8" s="4">
        <v>46293</v>
      </c>
      <c r="P8">
        <f t="shared" si="0"/>
        <v>87</v>
      </c>
      <c r="Q8" t="str">
        <f t="shared" si="1"/>
        <v>Hot</v>
      </c>
      <c r="R8" t="s">
        <v>33</v>
      </c>
      <c r="S8" t="s">
        <v>34</v>
      </c>
      <c r="T8">
        <f t="shared" si="2"/>
        <v>20</v>
      </c>
      <c r="U8">
        <f t="shared" si="3"/>
        <v>20</v>
      </c>
      <c r="V8">
        <f t="shared" si="4"/>
        <v>12</v>
      </c>
      <c r="W8">
        <f t="shared" si="5"/>
        <v>25</v>
      </c>
      <c r="X8">
        <f t="shared" si="6"/>
        <v>10</v>
      </c>
    </row>
    <row r="9" spans="1:25">
      <c r="A9" t="s">
        <v>81</v>
      </c>
      <c r="B9" t="s">
        <v>82</v>
      </c>
      <c r="C9" t="s">
        <v>48</v>
      </c>
      <c r="D9" t="s">
        <v>27</v>
      </c>
      <c r="E9" t="s">
        <v>67</v>
      </c>
      <c r="F9" s="3" t="s">
        <v>60</v>
      </c>
      <c r="G9" t="s">
        <v>83</v>
      </c>
      <c r="H9" t="s">
        <v>84</v>
      </c>
      <c r="I9" t="s">
        <v>53</v>
      </c>
      <c r="J9">
        <v>7500</v>
      </c>
      <c r="M9" t="s">
        <v>54</v>
      </c>
      <c r="N9" s="4">
        <v>46284</v>
      </c>
      <c r="O9" s="4">
        <v>46291</v>
      </c>
      <c r="P9">
        <f t="shared" si="0"/>
        <v>65</v>
      </c>
      <c r="Q9" t="str">
        <f t="shared" si="1"/>
        <v>Warm</v>
      </c>
      <c r="R9" t="s">
        <v>55</v>
      </c>
      <c r="S9" t="s">
        <v>34</v>
      </c>
      <c r="T9">
        <f t="shared" si="2"/>
        <v>20</v>
      </c>
      <c r="U9">
        <f t="shared" si="3"/>
        <v>10</v>
      </c>
      <c r="V9">
        <f t="shared" si="4"/>
        <v>20</v>
      </c>
      <c r="W9">
        <f t="shared" si="5"/>
        <v>10</v>
      </c>
      <c r="X9">
        <f t="shared" si="6"/>
        <v>5</v>
      </c>
    </row>
    <row r="10" spans="1:25">
      <c r="A10" t="s">
        <v>85</v>
      </c>
      <c r="B10" t="s">
        <v>86</v>
      </c>
      <c r="C10" t="s">
        <v>58</v>
      </c>
      <c r="D10" t="s">
        <v>59</v>
      </c>
      <c r="E10" t="s">
        <v>59</v>
      </c>
      <c r="F10" t="s">
        <v>29</v>
      </c>
      <c r="G10" t="s">
        <v>87</v>
      </c>
      <c r="H10" t="s">
        <v>88</v>
      </c>
      <c r="I10" t="s">
        <v>70</v>
      </c>
      <c r="J10">
        <v>19000</v>
      </c>
      <c r="M10" t="s">
        <v>44</v>
      </c>
      <c r="N10" s="4">
        <v>46288</v>
      </c>
      <c r="O10" s="4">
        <v>46295</v>
      </c>
      <c r="P10">
        <f t="shared" si="0"/>
        <v>84</v>
      </c>
      <c r="Q10" t="str">
        <f t="shared" si="1"/>
        <v>Hot</v>
      </c>
      <c r="R10" t="s">
        <v>45</v>
      </c>
      <c r="S10" t="s">
        <v>34</v>
      </c>
      <c r="T10">
        <f t="shared" si="2"/>
        <v>25</v>
      </c>
      <c r="U10">
        <f t="shared" si="3"/>
        <v>15</v>
      </c>
      <c r="V10">
        <f t="shared" si="4"/>
        <v>18</v>
      </c>
      <c r="W10">
        <f t="shared" si="5"/>
        <v>18</v>
      </c>
      <c r="X10">
        <f t="shared" si="6"/>
        <v>8</v>
      </c>
    </row>
    <row r="11" spans="1:25">
      <c r="A11" t="s">
        <v>89</v>
      </c>
      <c r="B11" t="s">
        <v>90</v>
      </c>
      <c r="C11" t="s">
        <v>37</v>
      </c>
      <c r="D11" t="s">
        <v>38</v>
      </c>
      <c r="E11" t="s">
        <v>39</v>
      </c>
      <c r="F11" t="s">
        <v>29</v>
      </c>
      <c r="G11" t="s">
        <v>91</v>
      </c>
      <c r="H11" t="s">
        <v>92</v>
      </c>
      <c r="I11" t="s">
        <v>43</v>
      </c>
      <c r="J11">
        <v>16500</v>
      </c>
      <c r="M11" t="s">
        <v>55</v>
      </c>
      <c r="N11" s="4">
        <v>46282</v>
      </c>
      <c r="O11" s="4">
        <v>46290</v>
      </c>
      <c r="P11">
        <f t="shared" si="0"/>
        <v>68</v>
      </c>
      <c r="Q11" t="str">
        <f t="shared" si="1"/>
        <v>Warm</v>
      </c>
      <c r="R11" t="s">
        <v>55</v>
      </c>
      <c r="S11" t="s">
        <v>34</v>
      </c>
      <c r="T11">
        <f t="shared" si="2"/>
        <v>20</v>
      </c>
      <c r="U11">
        <f t="shared" si="3"/>
        <v>15</v>
      </c>
      <c r="V11">
        <f t="shared" si="4"/>
        <v>15</v>
      </c>
      <c r="W11">
        <f t="shared" si="5"/>
        <v>18</v>
      </c>
      <c r="X11">
        <f t="shared" si="6"/>
        <v>0</v>
      </c>
    </row>
    <row r="12" spans="1:25">
      <c r="A12" t="s">
        <v>93</v>
      </c>
      <c r="B12" t="s">
        <v>94</v>
      </c>
      <c r="C12" t="s">
        <v>95</v>
      </c>
      <c r="D12" t="s">
        <v>49</v>
      </c>
      <c r="E12" t="s">
        <v>50</v>
      </c>
      <c r="F12" t="s">
        <v>40</v>
      </c>
      <c r="G12" t="s">
        <v>96</v>
      </c>
      <c r="H12" t="s">
        <v>97</v>
      </c>
      <c r="I12" t="s">
        <v>10</v>
      </c>
      <c r="J12">
        <v>28000</v>
      </c>
      <c r="M12" t="s">
        <v>32</v>
      </c>
      <c r="N12" s="4">
        <v>46287</v>
      </c>
      <c r="O12" s="4">
        <v>46294</v>
      </c>
      <c r="P12">
        <f t="shared" si="0"/>
        <v>72</v>
      </c>
      <c r="Q12" t="str">
        <f t="shared" si="1"/>
        <v>Warm</v>
      </c>
      <c r="R12" t="s">
        <v>33</v>
      </c>
      <c r="S12" t="s">
        <v>34</v>
      </c>
      <c r="T12">
        <f t="shared" si="2"/>
        <v>5</v>
      </c>
      <c r="U12">
        <f t="shared" si="3"/>
        <v>20</v>
      </c>
      <c r="V12">
        <f t="shared" si="4"/>
        <v>12</v>
      </c>
      <c r="W12">
        <f t="shared" si="5"/>
        <v>25</v>
      </c>
      <c r="X12">
        <f t="shared" si="6"/>
        <v>10</v>
      </c>
    </row>
    <row r="13" spans="1:25">
      <c r="A13" t="s">
        <v>98</v>
      </c>
      <c r="B13" t="s">
        <v>99</v>
      </c>
      <c r="C13" t="s">
        <v>100</v>
      </c>
      <c r="D13" t="s">
        <v>27</v>
      </c>
      <c r="E13" t="s">
        <v>28</v>
      </c>
      <c r="F13" t="s">
        <v>29</v>
      </c>
      <c r="G13" t="s">
        <v>101</v>
      </c>
      <c r="H13" t="s">
        <v>102</v>
      </c>
      <c r="I13" t="s">
        <v>53</v>
      </c>
      <c r="J13">
        <v>11000</v>
      </c>
      <c r="M13" t="s">
        <v>44</v>
      </c>
      <c r="N13" s="4">
        <v>46285</v>
      </c>
      <c r="O13" s="4">
        <v>46292</v>
      </c>
      <c r="P13">
        <f t="shared" si="0"/>
        <v>66</v>
      </c>
      <c r="Q13" t="str">
        <f t="shared" si="1"/>
        <v>Warm</v>
      </c>
      <c r="R13" t="s">
        <v>45</v>
      </c>
      <c r="S13" t="s">
        <v>34</v>
      </c>
      <c r="T13">
        <f t="shared" si="2"/>
        <v>5</v>
      </c>
      <c r="U13">
        <f t="shared" si="3"/>
        <v>15</v>
      </c>
      <c r="V13">
        <f t="shared" si="4"/>
        <v>20</v>
      </c>
      <c r="W13">
        <f t="shared" si="5"/>
        <v>18</v>
      </c>
      <c r="X13">
        <f t="shared" si="6"/>
        <v>8</v>
      </c>
    </row>
    <row r="14" spans="1:25">
      <c r="A14" t="s">
        <v>103</v>
      </c>
      <c r="B14" t="s">
        <v>104</v>
      </c>
      <c r="C14" t="s">
        <v>105</v>
      </c>
      <c r="D14" t="s">
        <v>59</v>
      </c>
      <c r="E14" t="s">
        <v>59</v>
      </c>
      <c r="F14" s="3" t="s">
        <v>60</v>
      </c>
      <c r="G14" t="s">
        <v>106</v>
      </c>
      <c r="H14" t="s">
        <v>107</v>
      </c>
      <c r="I14" t="s">
        <v>10</v>
      </c>
      <c r="J14">
        <v>9000</v>
      </c>
      <c r="M14" t="s">
        <v>54</v>
      </c>
      <c r="N14" s="4">
        <v>46283</v>
      </c>
      <c r="O14" s="4">
        <v>46291</v>
      </c>
      <c r="P14">
        <f t="shared" si="0"/>
        <v>48</v>
      </c>
      <c r="Q14" t="str">
        <f t="shared" si="1"/>
        <v>Cold</v>
      </c>
      <c r="R14" t="s">
        <v>55</v>
      </c>
      <c r="S14" t="s">
        <v>34</v>
      </c>
      <c r="T14">
        <f t="shared" si="2"/>
        <v>5</v>
      </c>
      <c r="U14">
        <f t="shared" si="3"/>
        <v>10</v>
      </c>
      <c r="V14">
        <f t="shared" si="4"/>
        <v>18</v>
      </c>
      <c r="W14">
        <f t="shared" si="5"/>
        <v>10</v>
      </c>
      <c r="X14">
        <f t="shared" si="6"/>
        <v>5</v>
      </c>
    </row>
    <row r="15" spans="1:25">
      <c r="A15" t="s">
        <v>108</v>
      </c>
      <c r="B15" t="s">
        <v>109</v>
      </c>
      <c r="C15" t="s">
        <v>66</v>
      </c>
      <c r="D15" t="s">
        <v>27</v>
      </c>
      <c r="E15" t="s">
        <v>110</v>
      </c>
      <c r="F15" s="3" t="s">
        <v>60</v>
      </c>
      <c r="G15" t="s">
        <v>111</v>
      </c>
      <c r="H15" t="s">
        <v>112</v>
      </c>
      <c r="I15" t="s">
        <v>70</v>
      </c>
      <c r="J15">
        <v>13500</v>
      </c>
      <c r="M15" t="s">
        <v>44</v>
      </c>
      <c r="N15" s="4">
        <v>46286</v>
      </c>
      <c r="O15" s="4">
        <v>46293</v>
      </c>
      <c r="P15">
        <f t="shared" si="0"/>
        <v>71</v>
      </c>
      <c r="Q15" t="str">
        <f t="shared" si="1"/>
        <v>Warm</v>
      </c>
      <c r="R15" t="s">
        <v>45</v>
      </c>
      <c r="S15" t="s">
        <v>34</v>
      </c>
      <c r="T15">
        <f t="shared" si="2"/>
        <v>15</v>
      </c>
      <c r="U15">
        <f t="shared" si="3"/>
        <v>10</v>
      </c>
      <c r="V15">
        <f t="shared" si="4"/>
        <v>20</v>
      </c>
      <c r="W15">
        <f t="shared" si="5"/>
        <v>18</v>
      </c>
      <c r="X15">
        <f t="shared" si="6"/>
        <v>8</v>
      </c>
    </row>
    <row r="16" spans="1:25">
      <c r="A16" t="s">
        <v>113</v>
      </c>
      <c r="B16" t="s">
        <v>114</v>
      </c>
      <c r="C16" t="s">
        <v>115</v>
      </c>
      <c r="D16" t="s">
        <v>38</v>
      </c>
      <c r="E16" t="s">
        <v>116</v>
      </c>
      <c r="F16" t="s">
        <v>29</v>
      </c>
      <c r="G16" t="s">
        <v>117</v>
      </c>
      <c r="H16" t="s">
        <v>118</v>
      </c>
      <c r="I16" t="s">
        <v>43</v>
      </c>
      <c r="J16">
        <v>21000</v>
      </c>
      <c r="M16" t="s">
        <v>32</v>
      </c>
      <c r="N16" s="4">
        <v>46288</v>
      </c>
      <c r="O16" s="4">
        <v>46295</v>
      </c>
      <c r="P16">
        <f t="shared" si="0"/>
        <v>70</v>
      </c>
      <c r="Q16" t="str">
        <f t="shared" si="1"/>
        <v>Warm</v>
      </c>
      <c r="R16" t="s">
        <v>33</v>
      </c>
      <c r="S16" t="s">
        <v>34</v>
      </c>
      <c r="T16">
        <f t="shared" si="2"/>
        <v>5</v>
      </c>
      <c r="U16">
        <f t="shared" si="3"/>
        <v>15</v>
      </c>
      <c r="V16">
        <f t="shared" si="4"/>
        <v>15</v>
      </c>
      <c r="W16">
        <f t="shared" si="5"/>
        <v>25</v>
      </c>
      <c r="X16">
        <f t="shared" si="6"/>
        <v>10</v>
      </c>
    </row>
    <row r="17" spans="1:24">
      <c r="A17" t="s">
        <v>119</v>
      </c>
      <c r="B17" t="s">
        <v>120</v>
      </c>
      <c r="C17" t="s">
        <v>26</v>
      </c>
      <c r="D17" t="s">
        <v>49</v>
      </c>
      <c r="E17" t="s">
        <v>121</v>
      </c>
      <c r="F17" t="s">
        <v>40</v>
      </c>
      <c r="G17" t="s">
        <v>122</v>
      </c>
      <c r="H17" t="s">
        <v>123</v>
      </c>
      <c r="I17" t="s">
        <v>10</v>
      </c>
      <c r="J17">
        <v>24000</v>
      </c>
      <c r="M17" t="s">
        <v>45</v>
      </c>
      <c r="N17" s="4">
        <v>46284</v>
      </c>
      <c r="O17" s="4">
        <v>46292</v>
      </c>
      <c r="P17">
        <f t="shared" si="0"/>
        <v>82</v>
      </c>
      <c r="Q17" t="str">
        <f t="shared" si="1"/>
        <v>Hot</v>
      </c>
      <c r="R17" t="s">
        <v>45</v>
      </c>
      <c r="S17" t="s">
        <v>34</v>
      </c>
      <c r="T17">
        <f t="shared" si="2"/>
        <v>25</v>
      </c>
      <c r="U17">
        <f t="shared" si="3"/>
        <v>20</v>
      </c>
      <c r="V17">
        <f t="shared" si="4"/>
        <v>12</v>
      </c>
      <c r="W17">
        <f t="shared" si="5"/>
        <v>25</v>
      </c>
      <c r="X17">
        <f t="shared" si="6"/>
        <v>0</v>
      </c>
    </row>
    <row r="18" spans="1:24">
      <c r="A18" t="s">
        <v>124</v>
      </c>
      <c r="B18" t="s">
        <v>125</v>
      </c>
      <c r="C18" t="s">
        <v>37</v>
      </c>
      <c r="D18" t="s">
        <v>27</v>
      </c>
      <c r="E18" t="s">
        <v>73</v>
      </c>
      <c r="F18" t="s">
        <v>29</v>
      </c>
      <c r="G18" t="s">
        <v>126</v>
      </c>
      <c r="H18" t="s">
        <v>127</v>
      </c>
      <c r="I18" t="s">
        <v>70</v>
      </c>
      <c r="J18">
        <v>17500</v>
      </c>
      <c r="M18" t="s">
        <v>32</v>
      </c>
      <c r="N18" s="4">
        <v>46287</v>
      </c>
      <c r="O18" s="4">
        <v>46294</v>
      </c>
      <c r="P18">
        <f t="shared" si="0"/>
        <v>83</v>
      </c>
      <c r="Q18" t="str">
        <f t="shared" si="1"/>
        <v>Hot</v>
      </c>
      <c r="R18" t="s">
        <v>33</v>
      </c>
      <c r="S18" t="s">
        <v>34</v>
      </c>
      <c r="T18">
        <f t="shared" si="2"/>
        <v>20</v>
      </c>
      <c r="U18">
        <f t="shared" si="3"/>
        <v>15</v>
      </c>
      <c r="V18">
        <f t="shared" si="4"/>
        <v>20</v>
      </c>
      <c r="W18">
        <f t="shared" si="5"/>
        <v>18</v>
      </c>
      <c r="X18">
        <f t="shared" si="6"/>
        <v>10</v>
      </c>
    </row>
    <row r="19" spans="1:24">
      <c r="A19" t="s">
        <v>128</v>
      </c>
      <c r="B19" t="s">
        <v>129</v>
      </c>
      <c r="C19" t="s">
        <v>48</v>
      </c>
      <c r="D19" t="s">
        <v>49</v>
      </c>
      <c r="E19" t="s">
        <v>130</v>
      </c>
      <c r="F19" t="s">
        <v>29</v>
      </c>
      <c r="G19" t="s">
        <v>131</v>
      </c>
      <c r="H19" t="s">
        <v>132</v>
      </c>
      <c r="I19" t="s">
        <v>53</v>
      </c>
      <c r="J19">
        <v>12500</v>
      </c>
      <c r="M19" t="s">
        <v>44</v>
      </c>
      <c r="N19" s="4">
        <v>46285</v>
      </c>
      <c r="O19" s="4">
        <v>46292</v>
      </c>
      <c r="P19">
        <f t="shared" si="0"/>
        <v>73</v>
      </c>
      <c r="Q19" t="str">
        <f t="shared" si="1"/>
        <v>Warm</v>
      </c>
      <c r="R19" t="s">
        <v>45</v>
      </c>
      <c r="S19" t="s">
        <v>34</v>
      </c>
      <c r="T19">
        <f t="shared" si="2"/>
        <v>20</v>
      </c>
      <c r="U19">
        <f t="shared" si="3"/>
        <v>15</v>
      </c>
      <c r="V19">
        <f t="shared" si="4"/>
        <v>12</v>
      </c>
      <c r="W19">
        <f t="shared" si="5"/>
        <v>18</v>
      </c>
      <c r="X19">
        <f t="shared" si="6"/>
        <v>8</v>
      </c>
    </row>
    <row r="20" spans="1:24">
      <c r="A20" t="s">
        <v>133</v>
      </c>
      <c r="B20" t="s">
        <v>134</v>
      </c>
      <c r="C20" t="s">
        <v>58</v>
      </c>
      <c r="D20" t="s">
        <v>38</v>
      </c>
      <c r="E20" t="s">
        <v>39</v>
      </c>
      <c r="F20" s="3" t="s">
        <v>60</v>
      </c>
      <c r="G20" t="s">
        <v>135</v>
      </c>
      <c r="H20" t="s">
        <v>62</v>
      </c>
      <c r="I20" t="s">
        <v>10</v>
      </c>
      <c r="J20">
        <v>6500</v>
      </c>
      <c r="M20" t="s">
        <v>55</v>
      </c>
      <c r="N20" s="4">
        <v>46283</v>
      </c>
      <c r="O20" s="4">
        <v>46290</v>
      </c>
      <c r="P20">
        <f t="shared" si="0"/>
        <v>60</v>
      </c>
      <c r="Q20" t="str">
        <f t="shared" si="1"/>
        <v>Warm</v>
      </c>
      <c r="R20" t="s">
        <v>55</v>
      </c>
      <c r="S20" t="s">
        <v>34</v>
      </c>
      <c r="T20">
        <f t="shared" si="2"/>
        <v>25</v>
      </c>
      <c r="U20">
        <f t="shared" si="3"/>
        <v>10</v>
      </c>
      <c r="V20">
        <f t="shared" si="4"/>
        <v>15</v>
      </c>
      <c r="W20">
        <f t="shared" si="5"/>
        <v>10</v>
      </c>
      <c r="X20">
        <f t="shared" si="6"/>
        <v>0</v>
      </c>
    </row>
    <row r="21" spans="1:24">
      <c r="A21" t="s">
        <v>136</v>
      </c>
      <c r="B21" t="s">
        <v>137</v>
      </c>
      <c r="C21" t="s">
        <v>95</v>
      </c>
      <c r="D21" t="s">
        <v>59</v>
      </c>
      <c r="E21" t="s">
        <v>59</v>
      </c>
      <c r="F21" t="s">
        <v>29</v>
      </c>
      <c r="G21" t="s">
        <v>138</v>
      </c>
      <c r="H21" t="s">
        <v>139</v>
      </c>
      <c r="I21" t="s">
        <v>43</v>
      </c>
      <c r="J21">
        <v>20000</v>
      </c>
      <c r="M21" t="s">
        <v>32</v>
      </c>
      <c r="N21" s="4">
        <v>46288</v>
      </c>
      <c r="O21" s="4">
        <v>46295</v>
      </c>
      <c r="P21">
        <f t="shared" si="0"/>
        <v>66</v>
      </c>
      <c r="Q21" t="str">
        <f t="shared" si="1"/>
        <v>Warm</v>
      </c>
      <c r="R21" t="s">
        <v>33</v>
      </c>
      <c r="S21" t="s">
        <v>34</v>
      </c>
      <c r="T21">
        <f t="shared" si="2"/>
        <v>5</v>
      </c>
      <c r="U21">
        <f t="shared" si="3"/>
        <v>15</v>
      </c>
      <c r="V21">
        <f t="shared" si="4"/>
        <v>18</v>
      </c>
      <c r="W21">
        <f t="shared" si="5"/>
        <v>18</v>
      </c>
      <c r="X21">
        <f t="shared" si="6"/>
        <v>10</v>
      </c>
    </row>
    <row r="22" spans="1:24">
      <c r="A22" t="s">
        <v>140</v>
      </c>
      <c r="B22" t="s">
        <v>141</v>
      </c>
      <c r="C22" t="s">
        <v>100</v>
      </c>
      <c r="D22" t="s">
        <v>49</v>
      </c>
      <c r="E22" t="s">
        <v>78</v>
      </c>
      <c r="F22" s="3" t="s">
        <v>60</v>
      </c>
      <c r="G22" t="s">
        <v>142</v>
      </c>
      <c r="H22" t="s">
        <v>52</v>
      </c>
      <c r="I22" t="s">
        <v>70</v>
      </c>
      <c r="J22">
        <v>8500</v>
      </c>
      <c r="M22" t="s">
        <v>54</v>
      </c>
      <c r="N22" s="4">
        <v>46284</v>
      </c>
      <c r="O22" s="4">
        <v>46291</v>
      </c>
      <c r="P22">
        <f t="shared" si="0"/>
        <v>42</v>
      </c>
      <c r="Q22" t="str">
        <f t="shared" si="1"/>
        <v>Cold</v>
      </c>
      <c r="R22" t="s">
        <v>55</v>
      </c>
      <c r="S22" t="s">
        <v>34</v>
      </c>
      <c r="T22">
        <f t="shared" si="2"/>
        <v>5</v>
      </c>
      <c r="U22">
        <f t="shared" si="3"/>
        <v>10</v>
      </c>
      <c r="V22">
        <f t="shared" si="4"/>
        <v>12</v>
      </c>
      <c r="W22">
        <f t="shared" si="5"/>
        <v>10</v>
      </c>
      <c r="X22">
        <f t="shared" si="6"/>
        <v>5</v>
      </c>
    </row>
    <row r="23" spans="1:24">
      <c r="A23" t="s">
        <v>143</v>
      </c>
      <c r="B23" t="s">
        <v>144</v>
      </c>
      <c r="C23" t="s">
        <v>105</v>
      </c>
      <c r="D23" t="s">
        <v>27</v>
      </c>
      <c r="E23" t="s">
        <v>67</v>
      </c>
      <c r="F23" t="s">
        <v>40</v>
      </c>
      <c r="G23" t="s">
        <v>145</v>
      </c>
      <c r="H23" t="s">
        <v>146</v>
      </c>
      <c r="I23" t="s">
        <v>10</v>
      </c>
      <c r="J23">
        <v>30000</v>
      </c>
      <c r="M23" t="s">
        <v>32</v>
      </c>
      <c r="N23" s="4">
        <v>46289</v>
      </c>
      <c r="O23" s="4">
        <v>46296</v>
      </c>
      <c r="P23">
        <f t="shared" si="0"/>
        <v>80</v>
      </c>
      <c r="Q23" t="str">
        <f t="shared" si="1"/>
        <v>Hot</v>
      </c>
      <c r="R23" t="s">
        <v>33</v>
      </c>
      <c r="S23" t="s">
        <v>34</v>
      </c>
      <c r="T23">
        <f t="shared" si="2"/>
        <v>5</v>
      </c>
      <c r="U23">
        <f t="shared" si="3"/>
        <v>20</v>
      </c>
      <c r="V23">
        <f t="shared" si="4"/>
        <v>20</v>
      </c>
      <c r="W23">
        <f t="shared" si="5"/>
        <v>25</v>
      </c>
      <c r="X23">
        <f t="shared" si="6"/>
        <v>10</v>
      </c>
    </row>
    <row r="24" spans="1:24">
      <c r="A24" t="s">
        <v>147</v>
      </c>
      <c r="B24" t="s">
        <v>148</v>
      </c>
      <c r="C24" t="s">
        <v>66</v>
      </c>
      <c r="D24" t="s">
        <v>38</v>
      </c>
      <c r="E24" t="s">
        <v>39</v>
      </c>
      <c r="F24" t="s">
        <v>29</v>
      </c>
      <c r="G24" t="s">
        <v>149</v>
      </c>
      <c r="H24" t="s">
        <v>150</v>
      </c>
      <c r="I24" t="s">
        <v>53</v>
      </c>
      <c r="J24">
        <v>14500</v>
      </c>
      <c r="M24" t="s">
        <v>44</v>
      </c>
      <c r="N24" s="4">
        <v>46286</v>
      </c>
      <c r="O24" s="4">
        <v>46293</v>
      </c>
      <c r="P24">
        <f t="shared" si="0"/>
        <v>71</v>
      </c>
      <c r="Q24" t="str">
        <f t="shared" si="1"/>
        <v>Warm</v>
      </c>
      <c r="R24" t="s">
        <v>45</v>
      </c>
      <c r="S24" t="s">
        <v>34</v>
      </c>
      <c r="T24">
        <f t="shared" si="2"/>
        <v>15</v>
      </c>
      <c r="U24">
        <f t="shared" si="3"/>
        <v>15</v>
      </c>
      <c r="V24">
        <f t="shared" si="4"/>
        <v>15</v>
      </c>
      <c r="W24">
        <f t="shared" si="5"/>
        <v>18</v>
      </c>
      <c r="X24">
        <f t="shared" si="6"/>
        <v>8</v>
      </c>
    </row>
    <row r="25" spans="1:24">
      <c r="A25" t="s">
        <v>151</v>
      </c>
      <c r="B25" t="s">
        <v>152</v>
      </c>
      <c r="C25" t="s">
        <v>115</v>
      </c>
      <c r="D25" t="s">
        <v>49</v>
      </c>
      <c r="E25" t="s">
        <v>50</v>
      </c>
      <c r="F25" t="s">
        <v>29</v>
      </c>
      <c r="G25" t="s">
        <v>153</v>
      </c>
      <c r="H25" t="s">
        <v>154</v>
      </c>
      <c r="I25" t="s">
        <v>43</v>
      </c>
      <c r="J25">
        <v>16000</v>
      </c>
      <c r="M25" t="s">
        <v>45</v>
      </c>
      <c r="N25" s="4">
        <v>46285</v>
      </c>
      <c r="O25" s="4">
        <v>46292</v>
      </c>
      <c r="P25">
        <f t="shared" si="0"/>
        <v>50</v>
      </c>
      <c r="Q25" t="str">
        <f t="shared" si="1"/>
        <v>Cold</v>
      </c>
      <c r="R25" t="s">
        <v>45</v>
      </c>
      <c r="S25" t="s">
        <v>34</v>
      </c>
      <c r="T25">
        <f t="shared" si="2"/>
        <v>5</v>
      </c>
      <c r="U25">
        <f t="shared" si="3"/>
        <v>15</v>
      </c>
      <c r="V25">
        <f t="shared" si="4"/>
        <v>12</v>
      </c>
      <c r="W25">
        <f t="shared" si="5"/>
        <v>18</v>
      </c>
      <c r="X25">
        <f t="shared" si="6"/>
        <v>0</v>
      </c>
    </row>
    <row r="26" spans="1:24">
      <c r="A26" t="s">
        <v>155</v>
      </c>
      <c r="B26" t="s">
        <v>156</v>
      </c>
      <c r="C26" t="s">
        <v>26</v>
      </c>
      <c r="D26" t="s">
        <v>59</v>
      </c>
      <c r="E26" t="s">
        <v>59</v>
      </c>
      <c r="F26" s="3" t="s">
        <v>60</v>
      </c>
      <c r="G26" t="s">
        <v>157</v>
      </c>
      <c r="H26" t="s">
        <v>158</v>
      </c>
      <c r="I26" t="s">
        <v>70</v>
      </c>
      <c r="J26">
        <v>9500</v>
      </c>
      <c r="M26" t="s">
        <v>54</v>
      </c>
      <c r="N26" s="4">
        <v>46283</v>
      </c>
      <c r="O26" s="4">
        <v>46291</v>
      </c>
      <c r="P26">
        <f t="shared" si="0"/>
        <v>68</v>
      </c>
      <c r="Q26" t="str">
        <f t="shared" si="1"/>
        <v>Warm</v>
      </c>
      <c r="R26" t="s">
        <v>55</v>
      </c>
      <c r="S26" t="s">
        <v>34</v>
      </c>
      <c r="T26">
        <f t="shared" si="2"/>
        <v>25</v>
      </c>
      <c r="U26">
        <f t="shared" si="3"/>
        <v>10</v>
      </c>
      <c r="V26">
        <f t="shared" si="4"/>
        <v>18</v>
      </c>
      <c r="W26">
        <f t="shared" si="5"/>
        <v>10</v>
      </c>
      <c r="X26">
        <f t="shared" si="6"/>
        <v>5</v>
      </c>
    </row>
    <row r="27" spans="1:24">
      <c r="A27" t="s">
        <v>159</v>
      </c>
      <c r="B27" t="s">
        <v>160</v>
      </c>
      <c r="C27" t="s">
        <v>26</v>
      </c>
      <c r="D27" t="s">
        <v>27</v>
      </c>
      <c r="E27" t="s">
        <v>67</v>
      </c>
      <c r="F27" s="3" t="s">
        <v>29</v>
      </c>
      <c r="G27" t="s">
        <v>161</v>
      </c>
      <c r="H27" t="s">
        <v>162</v>
      </c>
      <c r="I27" t="s">
        <v>10</v>
      </c>
      <c r="J27">
        <v>17500</v>
      </c>
      <c r="M27" t="s">
        <v>32</v>
      </c>
      <c r="N27" s="4">
        <v>46287</v>
      </c>
      <c r="O27" s="4">
        <v>46294</v>
      </c>
      <c r="P27">
        <f t="shared" si="0"/>
        <v>88</v>
      </c>
      <c r="Q27" t="str">
        <f t="shared" si="1"/>
        <v>Hot</v>
      </c>
      <c r="R27" t="s">
        <v>33</v>
      </c>
      <c r="S27" t="s">
        <v>34</v>
      </c>
      <c r="T27">
        <f t="shared" si="2"/>
        <v>25</v>
      </c>
      <c r="U27">
        <f t="shared" si="3"/>
        <v>15</v>
      </c>
      <c r="V27">
        <f t="shared" si="4"/>
        <v>20</v>
      </c>
      <c r="W27">
        <f t="shared" si="5"/>
        <v>18</v>
      </c>
      <c r="X27">
        <f t="shared" si="6"/>
        <v>10</v>
      </c>
    </row>
    <row r="28" spans="1:24">
      <c r="A28" t="s">
        <v>163</v>
      </c>
      <c r="B28" t="s">
        <v>164</v>
      </c>
      <c r="C28" t="s">
        <v>37</v>
      </c>
      <c r="D28" t="s">
        <v>59</v>
      </c>
      <c r="E28" t="s">
        <v>59</v>
      </c>
      <c r="F28" s="3" t="s">
        <v>60</v>
      </c>
      <c r="G28" t="s">
        <v>165</v>
      </c>
      <c r="H28" t="s">
        <v>166</v>
      </c>
      <c r="I28" t="s">
        <v>43</v>
      </c>
      <c r="J28">
        <v>9500</v>
      </c>
      <c r="M28" t="s">
        <v>55</v>
      </c>
      <c r="N28" s="4">
        <v>46282</v>
      </c>
      <c r="O28" s="4">
        <v>46290</v>
      </c>
      <c r="P28">
        <f t="shared" si="0"/>
        <v>58</v>
      </c>
      <c r="Q28" t="str">
        <f t="shared" si="1"/>
        <v>Cold</v>
      </c>
      <c r="R28" t="s">
        <v>55</v>
      </c>
      <c r="S28" t="s">
        <v>34</v>
      </c>
      <c r="T28">
        <f t="shared" si="2"/>
        <v>20</v>
      </c>
      <c r="U28">
        <f t="shared" si="3"/>
        <v>10</v>
      </c>
      <c r="V28">
        <f t="shared" si="4"/>
        <v>18</v>
      </c>
      <c r="W28">
        <f t="shared" si="5"/>
        <v>10</v>
      </c>
      <c r="X28">
        <f t="shared" si="6"/>
        <v>0</v>
      </c>
    </row>
    <row r="29" spans="1:24">
      <c r="A29" t="s">
        <v>167</v>
      </c>
      <c r="B29" t="s">
        <v>168</v>
      </c>
      <c r="C29" t="s">
        <v>48</v>
      </c>
      <c r="D29" t="s">
        <v>38</v>
      </c>
      <c r="E29" t="s">
        <v>39</v>
      </c>
      <c r="F29" s="3" t="s">
        <v>29</v>
      </c>
      <c r="G29" t="s">
        <v>169</v>
      </c>
      <c r="H29" t="s">
        <v>62</v>
      </c>
      <c r="I29" t="s">
        <v>53</v>
      </c>
      <c r="J29">
        <v>15500</v>
      </c>
      <c r="M29" t="s">
        <v>44</v>
      </c>
      <c r="N29" s="4">
        <v>46285</v>
      </c>
      <c r="O29" s="4">
        <v>46292</v>
      </c>
      <c r="P29">
        <f t="shared" si="0"/>
        <v>76</v>
      </c>
      <c r="Q29" t="str">
        <f t="shared" si="1"/>
        <v>Warm</v>
      </c>
      <c r="R29" t="s">
        <v>45</v>
      </c>
      <c r="S29" t="s">
        <v>34</v>
      </c>
      <c r="T29">
        <f t="shared" si="2"/>
        <v>20</v>
      </c>
      <c r="U29">
        <f t="shared" si="3"/>
        <v>15</v>
      </c>
      <c r="V29">
        <f t="shared" si="4"/>
        <v>15</v>
      </c>
      <c r="W29">
        <f t="shared" si="5"/>
        <v>18</v>
      </c>
      <c r="X29">
        <f t="shared" si="6"/>
        <v>8</v>
      </c>
    </row>
    <row r="30" spans="1:24">
      <c r="A30" t="s">
        <v>170</v>
      </c>
      <c r="B30" t="s">
        <v>171</v>
      </c>
      <c r="C30" t="s">
        <v>58</v>
      </c>
      <c r="D30" t="s">
        <v>49</v>
      </c>
      <c r="E30" t="s">
        <v>121</v>
      </c>
      <c r="F30" s="3" t="s">
        <v>40</v>
      </c>
      <c r="G30" t="s">
        <v>172</v>
      </c>
      <c r="H30" t="s">
        <v>173</v>
      </c>
      <c r="I30" t="s">
        <v>70</v>
      </c>
      <c r="J30">
        <v>27000</v>
      </c>
      <c r="M30" t="s">
        <v>32</v>
      </c>
      <c r="N30" s="4">
        <v>46288</v>
      </c>
      <c r="O30" s="4">
        <v>46295</v>
      </c>
      <c r="P30">
        <f t="shared" si="0"/>
        <v>92</v>
      </c>
      <c r="Q30" t="str">
        <f t="shared" si="1"/>
        <v>Hot</v>
      </c>
      <c r="R30" t="s">
        <v>33</v>
      </c>
      <c r="S30" t="s">
        <v>34</v>
      </c>
      <c r="T30">
        <f t="shared" si="2"/>
        <v>25</v>
      </c>
      <c r="U30">
        <f t="shared" si="3"/>
        <v>20</v>
      </c>
      <c r="V30">
        <f t="shared" si="4"/>
        <v>12</v>
      </c>
      <c r="W30">
        <f t="shared" si="5"/>
        <v>25</v>
      </c>
      <c r="X30">
        <f t="shared" si="6"/>
        <v>10</v>
      </c>
    </row>
    <row r="31" spans="1:24">
      <c r="A31" t="s">
        <v>174</v>
      </c>
      <c r="B31" t="s">
        <v>175</v>
      </c>
      <c r="C31" t="s">
        <v>95</v>
      </c>
      <c r="D31" t="s">
        <v>27</v>
      </c>
      <c r="E31" t="s">
        <v>28</v>
      </c>
      <c r="F31" s="3" t="s">
        <v>29</v>
      </c>
      <c r="G31" t="s">
        <v>176</v>
      </c>
      <c r="H31" t="s">
        <v>177</v>
      </c>
      <c r="I31" t="s">
        <v>10</v>
      </c>
      <c r="J31">
        <v>18500</v>
      </c>
      <c r="M31" t="s">
        <v>44</v>
      </c>
      <c r="N31" s="4">
        <v>46286</v>
      </c>
      <c r="O31" s="4">
        <v>46293</v>
      </c>
      <c r="P31">
        <f t="shared" si="0"/>
        <v>66</v>
      </c>
      <c r="Q31" t="str">
        <f t="shared" si="1"/>
        <v>Warm</v>
      </c>
      <c r="R31" t="s">
        <v>45</v>
      </c>
      <c r="S31" t="s">
        <v>34</v>
      </c>
      <c r="T31">
        <f t="shared" si="2"/>
        <v>5</v>
      </c>
      <c r="U31">
        <f t="shared" si="3"/>
        <v>15</v>
      </c>
      <c r="V31">
        <f t="shared" si="4"/>
        <v>20</v>
      </c>
      <c r="W31">
        <f t="shared" si="5"/>
        <v>18</v>
      </c>
      <c r="X31">
        <f t="shared" si="6"/>
        <v>8</v>
      </c>
    </row>
    <row r="32" spans="1:24">
      <c r="A32" t="s">
        <v>178</v>
      </c>
      <c r="B32" t="s">
        <v>179</v>
      </c>
      <c r="C32" t="s">
        <v>100</v>
      </c>
      <c r="D32" t="s">
        <v>59</v>
      </c>
      <c r="E32" t="s">
        <v>59</v>
      </c>
      <c r="F32" s="3" t="s">
        <v>60</v>
      </c>
      <c r="G32" t="s">
        <v>180</v>
      </c>
      <c r="H32" t="s">
        <v>181</v>
      </c>
      <c r="I32" t="s">
        <v>43</v>
      </c>
      <c r="J32">
        <v>7000</v>
      </c>
      <c r="M32" t="s">
        <v>63</v>
      </c>
      <c r="N32" s="4">
        <v>46281</v>
      </c>
      <c r="O32" s="4">
        <v>46290</v>
      </c>
      <c r="P32">
        <f t="shared" si="0"/>
        <v>43</v>
      </c>
      <c r="Q32" t="str">
        <f t="shared" si="1"/>
        <v>Cold</v>
      </c>
      <c r="R32" t="s">
        <v>55</v>
      </c>
      <c r="S32" t="s">
        <v>34</v>
      </c>
      <c r="T32">
        <f t="shared" si="2"/>
        <v>5</v>
      </c>
      <c r="U32">
        <f t="shared" si="3"/>
        <v>10</v>
      </c>
      <c r="V32">
        <f t="shared" si="4"/>
        <v>18</v>
      </c>
      <c r="W32">
        <f t="shared" si="5"/>
        <v>10</v>
      </c>
      <c r="X32">
        <f t="shared" si="6"/>
        <v>0</v>
      </c>
    </row>
    <row r="33" spans="1:24">
      <c r="A33" t="s">
        <v>182</v>
      </c>
      <c r="B33" t="s">
        <v>183</v>
      </c>
      <c r="C33" t="s">
        <v>105</v>
      </c>
      <c r="D33" t="s">
        <v>49</v>
      </c>
      <c r="E33" t="s">
        <v>50</v>
      </c>
      <c r="F33" s="3" t="s">
        <v>40</v>
      </c>
      <c r="G33" t="s">
        <v>184</v>
      </c>
      <c r="H33" t="s">
        <v>185</v>
      </c>
      <c r="I33" t="s">
        <v>10</v>
      </c>
      <c r="J33">
        <v>26000</v>
      </c>
      <c r="M33" t="s">
        <v>32</v>
      </c>
      <c r="N33" s="4">
        <v>46289</v>
      </c>
      <c r="O33" s="4">
        <v>46296</v>
      </c>
      <c r="P33">
        <f t="shared" si="0"/>
        <v>72</v>
      </c>
      <c r="Q33" t="str">
        <f t="shared" si="1"/>
        <v>Warm</v>
      </c>
      <c r="R33" t="s">
        <v>33</v>
      </c>
      <c r="S33" t="s">
        <v>34</v>
      </c>
      <c r="T33">
        <f t="shared" si="2"/>
        <v>5</v>
      </c>
      <c r="U33">
        <f t="shared" si="3"/>
        <v>20</v>
      </c>
      <c r="V33">
        <f t="shared" si="4"/>
        <v>12</v>
      </c>
      <c r="W33">
        <f t="shared" si="5"/>
        <v>25</v>
      </c>
      <c r="X33">
        <f t="shared" si="6"/>
        <v>10</v>
      </c>
    </row>
    <row r="34" spans="1:24">
      <c r="A34" t="s">
        <v>186</v>
      </c>
      <c r="B34" t="s">
        <v>187</v>
      </c>
      <c r="C34" t="s">
        <v>66</v>
      </c>
      <c r="D34" t="s">
        <v>27</v>
      </c>
      <c r="E34" t="s">
        <v>73</v>
      </c>
      <c r="F34" s="3" t="s">
        <v>29</v>
      </c>
      <c r="G34" t="s">
        <v>188</v>
      </c>
      <c r="H34" t="s">
        <v>189</v>
      </c>
      <c r="I34" t="s">
        <v>70</v>
      </c>
      <c r="J34">
        <v>16500</v>
      </c>
      <c r="M34" t="s">
        <v>44</v>
      </c>
      <c r="N34" s="4">
        <v>46285</v>
      </c>
      <c r="O34" s="4">
        <v>46292</v>
      </c>
      <c r="P34">
        <f t="shared" si="0"/>
        <v>76</v>
      </c>
      <c r="Q34" t="str">
        <f t="shared" si="1"/>
        <v>Warm</v>
      </c>
      <c r="R34" t="s">
        <v>45</v>
      </c>
      <c r="S34" t="s">
        <v>34</v>
      </c>
      <c r="T34">
        <f t="shared" si="2"/>
        <v>15</v>
      </c>
      <c r="U34">
        <f t="shared" si="3"/>
        <v>15</v>
      </c>
      <c r="V34">
        <f t="shared" si="4"/>
        <v>20</v>
      </c>
      <c r="W34">
        <f t="shared" si="5"/>
        <v>18</v>
      </c>
      <c r="X34">
        <f t="shared" si="6"/>
        <v>8</v>
      </c>
    </row>
    <row r="35" spans="1:24">
      <c r="A35" t="s">
        <v>190</v>
      </c>
      <c r="B35" t="s">
        <v>191</v>
      </c>
      <c r="C35" t="s">
        <v>115</v>
      </c>
      <c r="D35" t="s">
        <v>38</v>
      </c>
      <c r="E35" t="s">
        <v>116</v>
      </c>
      <c r="F35" s="3" t="s">
        <v>60</v>
      </c>
      <c r="G35" t="s">
        <v>192</v>
      </c>
      <c r="H35" t="s">
        <v>52</v>
      </c>
      <c r="I35" t="s">
        <v>53</v>
      </c>
      <c r="J35">
        <v>8000</v>
      </c>
      <c r="M35" t="s">
        <v>54</v>
      </c>
      <c r="N35" s="4">
        <v>46283</v>
      </c>
      <c r="O35" s="4">
        <v>46291</v>
      </c>
      <c r="P35">
        <f t="shared" si="0"/>
        <v>45</v>
      </c>
      <c r="Q35" t="str">
        <f t="shared" si="1"/>
        <v>Cold</v>
      </c>
      <c r="R35" t="s">
        <v>55</v>
      </c>
      <c r="S35" t="s">
        <v>34</v>
      </c>
      <c r="T35">
        <f t="shared" si="2"/>
        <v>5</v>
      </c>
      <c r="U35">
        <f t="shared" si="3"/>
        <v>10</v>
      </c>
      <c r="V35">
        <f t="shared" si="4"/>
        <v>15</v>
      </c>
      <c r="W35">
        <f t="shared" si="5"/>
        <v>10</v>
      </c>
      <c r="X35">
        <f t="shared" si="6"/>
        <v>5</v>
      </c>
    </row>
    <row r="36" spans="1:24">
      <c r="A36" t="s">
        <v>193</v>
      </c>
      <c r="B36" t="s">
        <v>194</v>
      </c>
      <c r="C36" t="s">
        <v>26</v>
      </c>
      <c r="D36" t="s">
        <v>49</v>
      </c>
      <c r="E36" t="s">
        <v>130</v>
      </c>
      <c r="F36" s="3" t="s">
        <v>29</v>
      </c>
      <c r="G36" t="s">
        <v>195</v>
      </c>
      <c r="H36" t="s">
        <v>196</v>
      </c>
      <c r="I36" t="s">
        <v>43</v>
      </c>
      <c r="J36">
        <v>13000</v>
      </c>
      <c r="M36" t="s">
        <v>45</v>
      </c>
      <c r="N36" s="4">
        <v>46286</v>
      </c>
      <c r="O36" s="4">
        <v>46293</v>
      </c>
      <c r="P36">
        <f t="shared" si="0"/>
        <v>70</v>
      </c>
      <c r="Q36" t="str">
        <f t="shared" si="1"/>
        <v>Warm</v>
      </c>
      <c r="R36" t="s">
        <v>45</v>
      </c>
      <c r="S36" t="s">
        <v>34</v>
      </c>
      <c r="T36">
        <f t="shared" si="2"/>
        <v>25</v>
      </c>
      <c r="U36">
        <f t="shared" si="3"/>
        <v>15</v>
      </c>
      <c r="V36">
        <f t="shared" si="4"/>
        <v>12</v>
      </c>
      <c r="W36">
        <f t="shared" si="5"/>
        <v>18</v>
      </c>
      <c r="X36">
        <f t="shared" si="6"/>
        <v>0</v>
      </c>
    </row>
    <row r="37" spans="1:24">
      <c r="A37" t="s">
        <v>197</v>
      </c>
      <c r="B37" t="s">
        <v>198</v>
      </c>
      <c r="C37" t="s">
        <v>37</v>
      </c>
      <c r="D37" t="s">
        <v>27</v>
      </c>
      <c r="E37" t="s">
        <v>110</v>
      </c>
      <c r="F37" s="3" t="s">
        <v>40</v>
      </c>
      <c r="G37" t="s">
        <v>199</v>
      </c>
      <c r="H37" t="s">
        <v>200</v>
      </c>
      <c r="I37" t="s">
        <v>10</v>
      </c>
      <c r="J37">
        <v>32000</v>
      </c>
      <c r="M37" t="s">
        <v>32</v>
      </c>
      <c r="N37" s="4">
        <v>46289</v>
      </c>
      <c r="O37" s="4">
        <v>46296</v>
      </c>
      <c r="P37">
        <f t="shared" si="0"/>
        <v>95</v>
      </c>
      <c r="Q37" t="str">
        <f t="shared" si="1"/>
        <v>Hot</v>
      </c>
      <c r="R37" t="s">
        <v>33</v>
      </c>
      <c r="S37" t="s">
        <v>34</v>
      </c>
      <c r="T37">
        <f t="shared" si="2"/>
        <v>20</v>
      </c>
      <c r="U37">
        <f t="shared" si="3"/>
        <v>20</v>
      </c>
      <c r="V37">
        <f t="shared" si="4"/>
        <v>20</v>
      </c>
      <c r="W37">
        <f t="shared" si="5"/>
        <v>25</v>
      </c>
      <c r="X37">
        <f t="shared" si="6"/>
        <v>10</v>
      </c>
    </row>
    <row r="38" spans="1:24">
      <c r="A38" t="s">
        <v>201</v>
      </c>
      <c r="B38" t="s">
        <v>202</v>
      </c>
      <c r="C38" t="s">
        <v>48</v>
      </c>
      <c r="D38" t="s">
        <v>59</v>
      </c>
      <c r="E38" t="s">
        <v>59</v>
      </c>
      <c r="F38" s="3" t="s">
        <v>60</v>
      </c>
      <c r="G38" t="s">
        <v>203</v>
      </c>
      <c r="H38" t="s">
        <v>204</v>
      </c>
      <c r="I38" t="s">
        <v>70</v>
      </c>
      <c r="J38">
        <v>9000</v>
      </c>
      <c r="M38" t="s">
        <v>55</v>
      </c>
      <c r="N38" s="4">
        <v>46282</v>
      </c>
      <c r="O38" s="4">
        <v>46290</v>
      </c>
      <c r="P38">
        <f t="shared" si="0"/>
        <v>58</v>
      </c>
      <c r="Q38" t="str">
        <f t="shared" si="1"/>
        <v>Cold</v>
      </c>
      <c r="R38" t="s">
        <v>55</v>
      </c>
      <c r="S38" t="s">
        <v>34</v>
      </c>
      <c r="T38">
        <f t="shared" si="2"/>
        <v>20</v>
      </c>
      <c r="U38">
        <f t="shared" si="3"/>
        <v>10</v>
      </c>
      <c r="V38">
        <f t="shared" si="4"/>
        <v>18</v>
      </c>
      <c r="W38">
        <f t="shared" si="5"/>
        <v>10</v>
      </c>
      <c r="X38">
        <f t="shared" si="6"/>
        <v>0</v>
      </c>
    </row>
    <row r="39" spans="1:24">
      <c r="A39" t="s">
        <v>205</v>
      </c>
      <c r="B39" t="s">
        <v>206</v>
      </c>
      <c r="C39" t="s">
        <v>58</v>
      </c>
      <c r="D39" t="s">
        <v>27</v>
      </c>
      <c r="E39" t="s">
        <v>67</v>
      </c>
      <c r="F39" s="3" t="s">
        <v>29</v>
      </c>
      <c r="G39" t="s">
        <v>207</v>
      </c>
      <c r="H39" t="s">
        <v>208</v>
      </c>
      <c r="I39" t="s">
        <v>53</v>
      </c>
      <c r="J39">
        <v>21000</v>
      </c>
      <c r="M39" t="s">
        <v>32</v>
      </c>
      <c r="N39" s="4">
        <v>46287</v>
      </c>
      <c r="O39" s="4">
        <v>46294</v>
      </c>
      <c r="P39">
        <f t="shared" si="0"/>
        <v>95</v>
      </c>
      <c r="Q39" t="str">
        <f t="shared" si="1"/>
        <v>Hot</v>
      </c>
      <c r="R39" t="s">
        <v>33</v>
      </c>
      <c r="S39" t="s">
        <v>34</v>
      </c>
      <c r="T39">
        <f t="shared" si="2"/>
        <v>25</v>
      </c>
      <c r="U39">
        <f t="shared" si="3"/>
        <v>15</v>
      </c>
      <c r="V39">
        <f t="shared" si="4"/>
        <v>20</v>
      </c>
      <c r="W39">
        <f t="shared" si="5"/>
        <v>25</v>
      </c>
      <c r="X39">
        <f t="shared" si="6"/>
        <v>10</v>
      </c>
    </row>
    <row r="40" spans="1:24">
      <c r="A40" t="s">
        <v>209</v>
      </c>
      <c r="B40" t="s">
        <v>210</v>
      </c>
      <c r="C40" t="s">
        <v>95</v>
      </c>
      <c r="D40" t="s">
        <v>38</v>
      </c>
      <c r="E40" t="s">
        <v>39</v>
      </c>
      <c r="F40" s="3" t="s">
        <v>40</v>
      </c>
      <c r="G40" t="s">
        <v>211</v>
      </c>
      <c r="H40" t="s">
        <v>212</v>
      </c>
      <c r="I40" t="s">
        <v>43</v>
      </c>
      <c r="J40">
        <v>29000</v>
      </c>
      <c r="M40" t="s">
        <v>32</v>
      </c>
      <c r="N40" s="4">
        <v>46288</v>
      </c>
      <c r="O40" s="4">
        <v>46295</v>
      </c>
      <c r="P40">
        <f t="shared" si="0"/>
        <v>75</v>
      </c>
      <c r="Q40" t="str">
        <f t="shared" si="1"/>
        <v>Warm</v>
      </c>
      <c r="R40" t="s">
        <v>33</v>
      </c>
      <c r="S40" t="s">
        <v>34</v>
      </c>
      <c r="T40">
        <f t="shared" si="2"/>
        <v>5</v>
      </c>
      <c r="U40">
        <f t="shared" si="3"/>
        <v>20</v>
      </c>
      <c r="V40">
        <f t="shared" si="4"/>
        <v>15</v>
      </c>
      <c r="W40">
        <f t="shared" si="5"/>
        <v>25</v>
      </c>
      <c r="X40">
        <f t="shared" si="6"/>
        <v>10</v>
      </c>
    </row>
    <row r="41" spans="1:24">
      <c r="A41" t="s">
        <v>213</v>
      </c>
      <c r="B41" t="s">
        <v>214</v>
      </c>
      <c r="C41" t="s">
        <v>100</v>
      </c>
      <c r="D41" t="s">
        <v>49</v>
      </c>
      <c r="E41" t="s">
        <v>78</v>
      </c>
      <c r="F41" s="3" t="s">
        <v>29</v>
      </c>
      <c r="G41" t="s">
        <v>215</v>
      </c>
      <c r="H41" t="s">
        <v>216</v>
      </c>
      <c r="I41" t="s">
        <v>10</v>
      </c>
      <c r="J41">
        <v>12000</v>
      </c>
      <c r="M41" t="s">
        <v>44</v>
      </c>
      <c r="N41" s="4">
        <v>46285</v>
      </c>
      <c r="O41" s="4">
        <v>46292</v>
      </c>
      <c r="P41">
        <f t="shared" si="0"/>
        <v>58</v>
      </c>
      <c r="Q41" t="str">
        <f t="shared" si="1"/>
        <v>Cold</v>
      </c>
      <c r="R41" t="s">
        <v>45</v>
      </c>
      <c r="S41" t="s">
        <v>34</v>
      </c>
      <c r="T41">
        <f t="shared" si="2"/>
        <v>5</v>
      </c>
      <c r="U41">
        <f t="shared" si="3"/>
        <v>15</v>
      </c>
      <c r="V41">
        <f t="shared" si="4"/>
        <v>12</v>
      </c>
      <c r="W41">
        <f t="shared" si="5"/>
        <v>18</v>
      </c>
      <c r="X41">
        <f t="shared" si="6"/>
        <v>8</v>
      </c>
    </row>
    <row r="42" spans="1:24">
      <c r="A42" t="s">
        <v>217</v>
      </c>
      <c r="B42" t="s">
        <v>218</v>
      </c>
      <c r="C42" t="s">
        <v>105</v>
      </c>
      <c r="D42" t="s">
        <v>59</v>
      </c>
      <c r="E42" t="s">
        <v>59</v>
      </c>
      <c r="F42" s="3" t="s">
        <v>29</v>
      </c>
      <c r="G42" t="s">
        <v>219</v>
      </c>
      <c r="H42" t="s">
        <v>220</v>
      </c>
      <c r="I42" t="s">
        <v>70</v>
      </c>
      <c r="J42">
        <v>17000</v>
      </c>
      <c r="M42" t="s">
        <v>45</v>
      </c>
      <c r="N42" s="4">
        <v>46286</v>
      </c>
      <c r="O42" s="4">
        <v>46293</v>
      </c>
      <c r="P42">
        <f t="shared" si="0"/>
        <v>56</v>
      </c>
      <c r="Q42" t="str">
        <f t="shared" si="1"/>
        <v>Cold</v>
      </c>
      <c r="R42" t="s">
        <v>55</v>
      </c>
      <c r="S42" t="s">
        <v>34</v>
      </c>
      <c r="T42">
        <f t="shared" si="2"/>
        <v>5</v>
      </c>
      <c r="U42">
        <f t="shared" si="3"/>
        <v>15</v>
      </c>
      <c r="V42">
        <f t="shared" si="4"/>
        <v>18</v>
      </c>
      <c r="W42">
        <f t="shared" si="5"/>
        <v>18</v>
      </c>
      <c r="X42">
        <f t="shared" si="6"/>
        <v>0</v>
      </c>
    </row>
    <row r="43" spans="1:24">
      <c r="A43" t="s">
        <v>221</v>
      </c>
      <c r="B43" t="s">
        <v>222</v>
      </c>
      <c r="C43" t="s">
        <v>66</v>
      </c>
      <c r="D43" t="s">
        <v>49</v>
      </c>
      <c r="E43" t="s">
        <v>50</v>
      </c>
      <c r="F43" s="3" t="s">
        <v>60</v>
      </c>
      <c r="G43" t="s">
        <v>223</v>
      </c>
      <c r="H43" t="s">
        <v>112</v>
      </c>
      <c r="I43" t="s">
        <v>53</v>
      </c>
      <c r="J43">
        <v>6500</v>
      </c>
      <c r="M43" t="s">
        <v>54</v>
      </c>
      <c r="N43" s="4">
        <v>46283</v>
      </c>
      <c r="O43" s="4">
        <v>46291</v>
      </c>
      <c r="P43">
        <f t="shared" si="0"/>
        <v>52</v>
      </c>
      <c r="Q43" t="str">
        <f t="shared" si="1"/>
        <v>Cold</v>
      </c>
      <c r="R43" t="s">
        <v>33</v>
      </c>
      <c r="S43" t="s">
        <v>34</v>
      </c>
      <c r="T43">
        <f t="shared" si="2"/>
        <v>15</v>
      </c>
      <c r="U43">
        <f t="shared" si="3"/>
        <v>10</v>
      </c>
      <c r="V43">
        <f t="shared" si="4"/>
        <v>12</v>
      </c>
      <c r="W43">
        <f t="shared" si="5"/>
        <v>10</v>
      </c>
      <c r="X43">
        <f t="shared" si="6"/>
        <v>5</v>
      </c>
    </row>
    <row r="44" spans="1:24">
      <c r="A44" t="s">
        <v>224</v>
      </c>
      <c r="B44" t="s">
        <v>225</v>
      </c>
      <c r="C44" t="s">
        <v>115</v>
      </c>
      <c r="D44" t="s">
        <v>27</v>
      </c>
      <c r="E44" t="s">
        <v>28</v>
      </c>
      <c r="F44" s="3" t="s">
        <v>29</v>
      </c>
      <c r="G44" t="s">
        <v>226</v>
      </c>
      <c r="H44" t="s">
        <v>227</v>
      </c>
      <c r="I44" t="s">
        <v>43</v>
      </c>
      <c r="J44">
        <v>19500</v>
      </c>
      <c r="M44" t="s">
        <v>32</v>
      </c>
      <c r="N44" s="4">
        <v>46288</v>
      </c>
      <c r="O44" s="4">
        <v>46295</v>
      </c>
      <c r="P44">
        <f t="shared" si="0"/>
        <v>68</v>
      </c>
      <c r="Q44" t="str">
        <f t="shared" si="1"/>
        <v>Warm</v>
      </c>
      <c r="R44" t="s">
        <v>55</v>
      </c>
      <c r="S44" t="s">
        <v>34</v>
      </c>
      <c r="T44">
        <f t="shared" si="2"/>
        <v>5</v>
      </c>
      <c r="U44">
        <f t="shared" si="3"/>
        <v>15</v>
      </c>
      <c r="V44">
        <f t="shared" si="4"/>
        <v>20</v>
      </c>
      <c r="W44">
        <f t="shared" si="5"/>
        <v>18</v>
      </c>
      <c r="X44">
        <f t="shared" si="6"/>
        <v>10</v>
      </c>
    </row>
    <row r="45" spans="1:24">
      <c r="A45" t="s">
        <v>228</v>
      </c>
      <c r="B45" t="s">
        <v>229</v>
      </c>
      <c r="C45" t="s">
        <v>26</v>
      </c>
      <c r="D45" t="s">
        <v>38</v>
      </c>
      <c r="E45" t="s">
        <v>39</v>
      </c>
      <c r="F45" s="3" t="s">
        <v>60</v>
      </c>
      <c r="G45" t="s">
        <v>230</v>
      </c>
      <c r="H45" t="s">
        <v>158</v>
      </c>
      <c r="I45" t="s">
        <v>10</v>
      </c>
      <c r="J45">
        <v>8500</v>
      </c>
      <c r="M45" t="s">
        <v>55</v>
      </c>
      <c r="N45" s="4">
        <v>46282</v>
      </c>
      <c r="O45" s="4">
        <v>46290</v>
      </c>
      <c r="P45">
        <f t="shared" si="0"/>
        <v>60</v>
      </c>
      <c r="Q45" t="str">
        <f t="shared" si="1"/>
        <v>Warm</v>
      </c>
      <c r="R45" t="s">
        <v>45</v>
      </c>
      <c r="S45" t="s">
        <v>34</v>
      </c>
      <c r="T45">
        <f t="shared" si="2"/>
        <v>25</v>
      </c>
      <c r="U45">
        <f t="shared" si="3"/>
        <v>10</v>
      </c>
      <c r="V45">
        <f t="shared" si="4"/>
        <v>15</v>
      </c>
      <c r="W45">
        <f t="shared" si="5"/>
        <v>10</v>
      </c>
      <c r="X45">
        <f t="shared" si="6"/>
        <v>0</v>
      </c>
    </row>
    <row r="46" spans="1:24">
      <c r="A46" t="s">
        <v>231</v>
      </c>
      <c r="B46" t="s">
        <v>232</v>
      </c>
      <c r="C46" t="s">
        <v>37</v>
      </c>
      <c r="D46" t="s">
        <v>49</v>
      </c>
      <c r="E46" t="s">
        <v>121</v>
      </c>
      <c r="F46" s="3" t="s">
        <v>29</v>
      </c>
      <c r="G46" t="s">
        <v>233</v>
      </c>
      <c r="H46" t="s">
        <v>234</v>
      </c>
      <c r="I46" t="s">
        <v>70</v>
      </c>
      <c r="J46">
        <v>18000</v>
      </c>
      <c r="M46" t="s">
        <v>44</v>
      </c>
      <c r="N46" s="4">
        <v>46285</v>
      </c>
      <c r="O46" s="4">
        <v>46292</v>
      </c>
      <c r="P46">
        <f t="shared" si="0"/>
        <v>73</v>
      </c>
      <c r="Q46" t="str">
        <f t="shared" si="1"/>
        <v>Warm</v>
      </c>
      <c r="R46" t="s">
        <v>33</v>
      </c>
      <c r="S46" t="s">
        <v>34</v>
      </c>
      <c r="T46">
        <f t="shared" si="2"/>
        <v>20</v>
      </c>
      <c r="U46">
        <f t="shared" si="3"/>
        <v>15</v>
      </c>
      <c r="V46">
        <f t="shared" si="4"/>
        <v>12</v>
      </c>
      <c r="W46">
        <f t="shared" si="5"/>
        <v>18</v>
      </c>
      <c r="X46">
        <f t="shared" si="6"/>
        <v>8</v>
      </c>
    </row>
    <row r="47" spans="1:24">
      <c r="A47" t="s">
        <v>235</v>
      </c>
      <c r="B47" t="s">
        <v>236</v>
      </c>
      <c r="C47" t="s">
        <v>48</v>
      </c>
      <c r="D47" t="s">
        <v>27</v>
      </c>
      <c r="E47" t="s">
        <v>67</v>
      </c>
      <c r="F47" t="s">
        <v>40</v>
      </c>
      <c r="G47" t="s">
        <v>237</v>
      </c>
      <c r="H47" t="s">
        <v>139</v>
      </c>
      <c r="I47" t="s">
        <v>10</v>
      </c>
      <c r="J47">
        <v>27500</v>
      </c>
      <c r="M47" t="s">
        <v>32</v>
      </c>
      <c r="N47" s="4">
        <v>46289</v>
      </c>
      <c r="O47" s="4">
        <v>46296</v>
      </c>
      <c r="P47">
        <f t="shared" si="0"/>
        <v>95</v>
      </c>
      <c r="Q47" t="str">
        <f t="shared" si="1"/>
        <v>Hot</v>
      </c>
      <c r="R47" t="s">
        <v>45</v>
      </c>
      <c r="S47" t="s">
        <v>34</v>
      </c>
      <c r="T47">
        <f t="shared" si="2"/>
        <v>20</v>
      </c>
      <c r="U47">
        <f t="shared" si="3"/>
        <v>20</v>
      </c>
      <c r="V47">
        <f t="shared" si="4"/>
        <v>20</v>
      </c>
      <c r="W47">
        <f t="shared" si="5"/>
        <v>25</v>
      </c>
      <c r="X47">
        <f t="shared" si="6"/>
        <v>10</v>
      </c>
    </row>
    <row r="48" spans="1:24">
      <c r="A48" t="s">
        <v>238</v>
      </c>
      <c r="B48" t="s">
        <v>239</v>
      </c>
      <c r="C48" t="s">
        <v>58</v>
      </c>
      <c r="D48" t="s">
        <v>49</v>
      </c>
      <c r="E48" t="s">
        <v>78</v>
      </c>
      <c r="F48" t="s">
        <v>29</v>
      </c>
      <c r="G48" t="s">
        <v>240</v>
      </c>
      <c r="H48" t="s">
        <v>241</v>
      </c>
      <c r="I48" t="s">
        <v>43</v>
      </c>
      <c r="J48">
        <v>16500</v>
      </c>
      <c r="M48" t="s">
        <v>44</v>
      </c>
      <c r="N48" s="4">
        <v>46286</v>
      </c>
      <c r="O48" s="4">
        <v>46293</v>
      </c>
      <c r="P48">
        <f t="shared" si="0"/>
        <v>78</v>
      </c>
      <c r="Q48" t="str">
        <f t="shared" si="1"/>
        <v>Warm</v>
      </c>
      <c r="R48" t="s">
        <v>55</v>
      </c>
      <c r="S48" t="s">
        <v>34</v>
      </c>
      <c r="T48">
        <f t="shared" si="2"/>
        <v>25</v>
      </c>
      <c r="U48">
        <f t="shared" si="3"/>
        <v>15</v>
      </c>
      <c r="V48">
        <f t="shared" si="4"/>
        <v>12</v>
      </c>
      <c r="W48">
        <f t="shared" si="5"/>
        <v>18</v>
      </c>
      <c r="X48">
        <f t="shared" si="6"/>
        <v>8</v>
      </c>
    </row>
    <row r="49" spans="1:24">
      <c r="A49" t="s">
        <v>242</v>
      </c>
      <c r="B49" t="s">
        <v>243</v>
      </c>
      <c r="C49" t="s">
        <v>26</v>
      </c>
      <c r="D49" t="s">
        <v>59</v>
      </c>
      <c r="E49" t="s">
        <v>59</v>
      </c>
      <c r="F49" s="3" t="s">
        <v>60</v>
      </c>
      <c r="G49" t="s">
        <v>244</v>
      </c>
      <c r="H49" t="s">
        <v>97</v>
      </c>
      <c r="I49" t="s">
        <v>70</v>
      </c>
      <c r="J49">
        <v>7000</v>
      </c>
      <c r="M49" t="s">
        <v>54</v>
      </c>
      <c r="N49" s="4">
        <v>46283</v>
      </c>
      <c r="O49" s="4">
        <v>46291</v>
      </c>
      <c r="P49">
        <f t="shared" si="0"/>
        <v>68</v>
      </c>
      <c r="Q49" t="str">
        <f t="shared" si="1"/>
        <v>Warm</v>
      </c>
      <c r="R49" t="s">
        <v>33</v>
      </c>
      <c r="S49" t="s">
        <v>34</v>
      </c>
      <c r="T49">
        <f t="shared" si="2"/>
        <v>25</v>
      </c>
      <c r="U49">
        <f t="shared" si="3"/>
        <v>10</v>
      </c>
      <c r="V49">
        <f t="shared" si="4"/>
        <v>18</v>
      </c>
      <c r="W49">
        <f t="shared" si="5"/>
        <v>10</v>
      </c>
      <c r="X49">
        <f t="shared" si="6"/>
        <v>5</v>
      </c>
    </row>
    <row r="50" spans="1:24">
      <c r="A50" t="s">
        <v>245</v>
      </c>
      <c r="B50" t="s">
        <v>246</v>
      </c>
      <c r="C50" t="s">
        <v>37</v>
      </c>
      <c r="D50" t="s">
        <v>38</v>
      </c>
      <c r="E50" t="s">
        <v>39</v>
      </c>
      <c r="F50" t="s">
        <v>40</v>
      </c>
      <c r="G50" t="s">
        <v>247</v>
      </c>
      <c r="H50" t="s">
        <v>200</v>
      </c>
      <c r="I50" t="s">
        <v>10</v>
      </c>
      <c r="J50">
        <v>31000</v>
      </c>
      <c r="M50" t="s">
        <v>32</v>
      </c>
      <c r="N50" s="4">
        <v>46288</v>
      </c>
      <c r="O50" s="4">
        <v>46295</v>
      </c>
      <c r="P50">
        <f t="shared" si="0"/>
        <v>90</v>
      </c>
      <c r="Q50" t="str">
        <f t="shared" si="1"/>
        <v>Hot</v>
      </c>
      <c r="R50" t="s">
        <v>33</v>
      </c>
      <c r="S50" t="s">
        <v>34</v>
      </c>
      <c r="T50">
        <f t="shared" si="2"/>
        <v>20</v>
      </c>
      <c r="U50">
        <f t="shared" si="3"/>
        <v>20</v>
      </c>
      <c r="V50">
        <f t="shared" si="4"/>
        <v>15</v>
      </c>
      <c r="W50">
        <f t="shared" si="5"/>
        <v>25</v>
      </c>
      <c r="X50">
        <f t="shared" si="6"/>
        <v>10</v>
      </c>
    </row>
    <row r="51" spans="1:24">
      <c r="A51" t="s">
        <v>248</v>
      </c>
      <c r="B51" t="s">
        <v>249</v>
      </c>
      <c r="C51" t="s">
        <v>95</v>
      </c>
      <c r="D51" t="s">
        <v>49</v>
      </c>
      <c r="E51" t="s">
        <v>50</v>
      </c>
      <c r="F51" t="s">
        <v>29</v>
      </c>
      <c r="G51" t="s">
        <v>250</v>
      </c>
      <c r="H51" t="s">
        <v>251</v>
      </c>
      <c r="I51" t="s">
        <v>53</v>
      </c>
      <c r="J51">
        <v>14500</v>
      </c>
      <c r="M51" t="s">
        <v>45</v>
      </c>
      <c r="N51" s="4">
        <v>46285</v>
      </c>
      <c r="O51" s="4">
        <v>46292</v>
      </c>
      <c r="P51">
        <f t="shared" si="0"/>
        <v>50</v>
      </c>
      <c r="Q51" t="str">
        <f t="shared" si="1"/>
        <v>Cold</v>
      </c>
      <c r="R51" t="s">
        <v>45</v>
      </c>
      <c r="S51" t="s">
        <v>34</v>
      </c>
      <c r="T51">
        <f t="shared" si="2"/>
        <v>5</v>
      </c>
      <c r="U51">
        <f t="shared" si="3"/>
        <v>15</v>
      </c>
      <c r="V51">
        <f t="shared" si="4"/>
        <v>12</v>
      </c>
      <c r="W51">
        <f t="shared" si="5"/>
        <v>18</v>
      </c>
      <c r="X51">
        <f t="shared" si="6"/>
        <v>0</v>
      </c>
    </row>
    <row r="52" spans="1:24">
      <c r="A52" t="s">
        <v>252</v>
      </c>
      <c r="B52" t="s">
        <v>253</v>
      </c>
      <c r="C52" t="s">
        <v>100</v>
      </c>
      <c r="D52" t="s">
        <v>27</v>
      </c>
      <c r="E52" t="s">
        <v>28</v>
      </c>
      <c r="F52" t="s">
        <v>40</v>
      </c>
      <c r="G52" t="s">
        <v>254</v>
      </c>
      <c r="H52" t="s">
        <v>255</v>
      </c>
      <c r="I52" t="s">
        <v>43</v>
      </c>
      <c r="J52">
        <v>23000</v>
      </c>
      <c r="M52" t="s">
        <v>32</v>
      </c>
      <c r="N52" s="4">
        <v>46289</v>
      </c>
      <c r="O52" s="4">
        <v>46296</v>
      </c>
      <c r="P52">
        <f t="shared" si="0"/>
        <v>80</v>
      </c>
      <c r="Q52" t="str">
        <f t="shared" si="1"/>
        <v>Hot</v>
      </c>
      <c r="R52" t="s">
        <v>33</v>
      </c>
      <c r="S52" t="s">
        <v>34</v>
      </c>
      <c r="T52">
        <f t="shared" si="2"/>
        <v>5</v>
      </c>
      <c r="U52">
        <f t="shared" si="3"/>
        <v>20</v>
      </c>
      <c r="V52">
        <f t="shared" si="4"/>
        <v>20</v>
      </c>
      <c r="W52">
        <f t="shared" si="5"/>
        <v>25</v>
      </c>
      <c r="X52">
        <f t="shared" si="6"/>
        <v>10</v>
      </c>
    </row>
    <row r="53" spans="1:24">
      <c r="A53" t="s">
        <v>256</v>
      </c>
      <c r="B53" t="s">
        <v>257</v>
      </c>
      <c r="C53" t="s">
        <v>105</v>
      </c>
      <c r="D53" t="s">
        <v>38</v>
      </c>
      <c r="E53" t="s">
        <v>116</v>
      </c>
      <c r="F53" t="s">
        <v>29</v>
      </c>
      <c r="G53" t="s">
        <v>258</v>
      </c>
      <c r="H53" t="s">
        <v>107</v>
      </c>
      <c r="I53" t="s">
        <v>10</v>
      </c>
      <c r="J53">
        <v>18500</v>
      </c>
      <c r="M53" t="s">
        <v>44</v>
      </c>
      <c r="N53" s="4">
        <v>46286</v>
      </c>
      <c r="O53" s="4">
        <v>46293</v>
      </c>
      <c r="P53">
        <f t="shared" si="0"/>
        <v>61</v>
      </c>
      <c r="Q53" t="str">
        <f t="shared" si="1"/>
        <v>Warm</v>
      </c>
      <c r="R53" t="s">
        <v>45</v>
      </c>
      <c r="S53" t="s">
        <v>34</v>
      </c>
      <c r="T53">
        <f t="shared" si="2"/>
        <v>5</v>
      </c>
      <c r="U53">
        <f t="shared" si="3"/>
        <v>15</v>
      </c>
      <c r="V53">
        <f t="shared" si="4"/>
        <v>15</v>
      </c>
      <c r="W53">
        <f t="shared" si="5"/>
        <v>18</v>
      </c>
      <c r="X53">
        <f t="shared" si="6"/>
        <v>8</v>
      </c>
    </row>
    <row r="54" spans="1:24">
      <c r="A54" t="s">
        <v>259</v>
      </c>
      <c r="B54" t="s">
        <v>260</v>
      </c>
      <c r="C54" t="s">
        <v>66</v>
      </c>
      <c r="D54" t="s">
        <v>59</v>
      </c>
      <c r="E54" t="s">
        <v>59</v>
      </c>
      <c r="F54" s="3" t="s">
        <v>60</v>
      </c>
      <c r="G54" s="3" t="s">
        <v>261</v>
      </c>
      <c r="H54" t="s">
        <v>262</v>
      </c>
      <c r="I54" t="s">
        <v>70</v>
      </c>
      <c r="J54">
        <v>9500</v>
      </c>
      <c r="M54" t="s">
        <v>55</v>
      </c>
      <c r="N54" s="4">
        <v>46282</v>
      </c>
      <c r="O54" s="4">
        <v>46290</v>
      </c>
      <c r="P54">
        <f t="shared" si="0"/>
        <v>53</v>
      </c>
      <c r="Q54" t="str">
        <f t="shared" si="1"/>
        <v>Cold</v>
      </c>
      <c r="R54" t="s">
        <v>55</v>
      </c>
      <c r="S54" t="s">
        <v>34</v>
      </c>
      <c r="T54">
        <f t="shared" si="2"/>
        <v>15</v>
      </c>
      <c r="U54">
        <f t="shared" si="3"/>
        <v>10</v>
      </c>
      <c r="V54">
        <f t="shared" si="4"/>
        <v>18</v>
      </c>
      <c r="W54">
        <f t="shared" si="5"/>
        <v>10</v>
      </c>
      <c r="X54">
        <f t="shared" si="6"/>
        <v>0</v>
      </c>
    </row>
    <row r="55" spans="1:24">
      <c r="A55" t="s">
        <v>263</v>
      </c>
      <c r="B55" t="s">
        <v>264</v>
      </c>
      <c r="C55" t="s">
        <v>115</v>
      </c>
      <c r="D55" t="s">
        <v>49</v>
      </c>
      <c r="E55" t="s">
        <v>130</v>
      </c>
      <c r="F55" t="s">
        <v>40</v>
      </c>
      <c r="G55" t="s">
        <v>265</v>
      </c>
      <c r="H55" t="s">
        <v>92</v>
      </c>
      <c r="I55" t="s">
        <v>43</v>
      </c>
      <c r="J55">
        <v>26000</v>
      </c>
      <c r="M55" t="s">
        <v>32</v>
      </c>
      <c r="N55" s="4">
        <v>46288</v>
      </c>
      <c r="O55" s="4">
        <v>46295</v>
      </c>
      <c r="P55">
        <f t="shared" si="0"/>
        <v>72</v>
      </c>
      <c r="Q55" t="str">
        <f t="shared" si="1"/>
        <v>Warm</v>
      </c>
      <c r="R55" t="s">
        <v>33</v>
      </c>
      <c r="S55" t="s">
        <v>34</v>
      </c>
      <c r="T55">
        <f t="shared" si="2"/>
        <v>5</v>
      </c>
      <c r="U55">
        <f t="shared" si="3"/>
        <v>20</v>
      </c>
      <c r="V55">
        <f t="shared" si="4"/>
        <v>12</v>
      </c>
      <c r="W55">
        <f t="shared" si="5"/>
        <v>25</v>
      </c>
      <c r="X55">
        <f t="shared" si="6"/>
        <v>10</v>
      </c>
    </row>
    <row r="56" spans="1:24">
      <c r="A56" t="s">
        <v>266</v>
      </c>
      <c r="B56" t="s">
        <v>267</v>
      </c>
      <c r="C56" t="s">
        <v>26</v>
      </c>
      <c r="D56" t="s">
        <v>27</v>
      </c>
      <c r="E56" t="s">
        <v>73</v>
      </c>
      <c r="F56" t="s">
        <v>29</v>
      </c>
      <c r="G56" t="s">
        <v>268</v>
      </c>
      <c r="H56" t="s">
        <v>269</v>
      </c>
      <c r="I56" t="s">
        <v>53</v>
      </c>
      <c r="J56">
        <v>15500</v>
      </c>
      <c r="M56" t="s">
        <v>44</v>
      </c>
      <c r="N56" s="4">
        <v>46285</v>
      </c>
      <c r="O56" s="4">
        <v>46292</v>
      </c>
      <c r="P56">
        <f t="shared" si="0"/>
        <v>86</v>
      </c>
      <c r="Q56" t="str">
        <f t="shared" si="1"/>
        <v>Hot</v>
      </c>
      <c r="R56" t="s">
        <v>45</v>
      </c>
      <c r="S56" t="s">
        <v>34</v>
      </c>
      <c r="T56">
        <f t="shared" si="2"/>
        <v>25</v>
      </c>
      <c r="U56">
        <f t="shared" si="3"/>
        <v>15</v>
      </c>
      <c r="V56">
        <f t="shared" si="4"/>
        <v>20</v>
      </c>
      <c r="W56">
        <f t="shared" si="5"/>
        <v>18</v>
      </c>
      <c r="X56">
        <f t="shared" si="6"/>
        <v>8</v>
      </c>
    </row>
    <row r="57" spans="1:24">
      <c r="A57" t="s">
        <v>270</v>
      </c>
      <c r="B57" t="s">
        <v>271</v>
      </c>
      <c r="C57" t="s">
        <v>37</v>
      </c>
      <c r="D57" t="s">
        <v>49</v>
      </c>
      <c r="E57" t="s">
        <v>121</v>
      </c>
      <c r="F57" s="3" t="s">
        <v>60</v>
      </c>
      <c r="G57" t="s">
        <v>272</v>
      </c>
      <c r="H57" t="s">
        <v>273</v>
      </c>
      <c r="I57" t="s">
        <v>10</v>
      </c>
      <c r="J57">
        <v>7500</v>
      </c>
      <c r="M57" t="s">
        <v>63</v>
      </c>
      <c r="N57" s="4">
        <v>46281</v>
      </c>
      <c r="O57" s="4">
        <v>46290</v>
      </c>
      <c r="P57">
        <f t="shared" si="0"/>
        <v>52</v>
      </c>
      <c r="Q57" t="str">
        <f t="shared" si="1"/>
        <v>Cold</v>
      </c>
      <c r="R57" t="s">
        <v>55</v>
      </c>
      <c r="S57" t="s">
        <v>34</v>
      </c>
      <c r="T57">
        <f t="shared" si="2"/>
        <v>20</v>
      </c>
      <c r="U57">
        <f t="shared" si="3"/>
        <v>10</v>
      </c>
      <c r="V57">
        <f t="shared" si="4"/>
        <v>12</v>
      </c>
      <c r="W57">
        <f t="shared" si="5"/>
        <v>10</v>
      </c>
      <c r="X57">
        <f t="shared" si="6"/>
        <v>0</v>
      </c>
    </row>
    <row r="58" spans="1:24">
      <c r="A58" t="s">
        <v>274</v>
      </c>
      <c r="B58" t="s">
        <v>275</v>
      </c>
      <c r="C58" t="s">
        <v>48</v>
      </c>
      <c r="D58" t="s">
        <v>38</v>
      </c>
      <c r="E58" t="s">
        <v>39</v>
      </c>
      <c r="F58" t="s">
        <v>40</v>
      </c>
      <c r="G58" t="s">
        <v>276</v>
      </c>
      <c r="H58" t="s">
        <v>277</v>
      </c>
      <c r="I58" t="s">
        <v>43</v>
      </c>
      <c r="J58">
        <v>28000</v>
      </c>
      <c r="M58" t="s">
        <v>32</v>
      </c>
      <c r="N58" s="4">
        <v>46289</v>
      </c>
      <c r="O58" s="4">
        <v>46296</v>
      </c>
      <c r="P58">
        <f t="shared" si="0"/>
        <v>90</v>
      </c>
      <c r="Q58" t="str">
        <f t="shared" si="1"/>
        <v>Hot</v>
      </c>
      <c r="R58" t="s">
        <v>33</v>
      </c>
      <c r="S58" t="s">
        <v>34</v>
      </c>
      <c r="T58">
        <f t="shared" si="2"/>
        <v>20</v>
      </c>
      <c r="U58">
        <f t="shared" si="3"/>
        <v>20</v>
      </c>
      <c r="V58">
        <f t="shared" si="4"/>
        <v>15</v>
      </c>
      <c r="W58">
        <f t="shared" si="5"/>
        <v>25</v>
      </c>
      <c r="X58">
        <f t="shared" si="6"/>
        <v>10</v>
      </c>
    </row>
    <row r="59" spans="1:24">
      <c r="A59" t="s">
        <v>278</v>
      </c>
      <c r="B59" t="s">
        <v>279</v>
      </c>
      <c r="C59" t="s">
        <v>58</v>
      </c>
      <c r="D59" t="s">
        <v>59</v>
      </c>
      <c r="E59" t="s">
        <v>59</v>
      </c>
      <c r="F59" t="s">
        <v>29</v>
      </c>
      <c r="G59" t="s">
        <v>280</v>
      </c>
      <c r="H59" t="s">
        <v>281</v>
      </c>
      <c r="I59" t="s">
        <v>70</v>
      </c>
      <c r="J59">
        <v>20000</v>
      </c>
      <c r="M59" t="s">
        <v>44</v>
      </c>
      <c r="N59" s="4">
        <v>46287</v>
      </c>
      <c r="O59" s="4">
        <v>46294</v>
      </c>
      <c r="P59">
        <f t="shared" si="0"/>
        <v>84</v>
      </c>
      <c r="Q59" t="str">
        <f t="shared" si="1"/>
        <v>Hot</v>
      </c>
      <c r="R59" t="s">
        <v>45</v>
      </c>
      <c r="S59" t="s">
        <v>34</v>
      </c>
      <c r="T59">
        <f t="shared" si="2"/>
        <v>25</v>
      </c>
      <c r="U59">
        <f t="shared" si="3"/>
        <v>15</v>
      </c>
      <c r="V59">
        <f t="shared" si="4"/>
        <v>18</v>
      </c>
      <c r="W59">
        <f t="shared" si="5"/>
        <v>18</v>
      </c>
      <c r="X59">
        <f t="shared" si="6"/>
        <v>8</v>
      </c>
    </row>
    <row r="60" spans="1:24">
      <c r="A60" t="s">
        <v>282</v>
      </c>
      <c r="B60" t="s">
        <v>283</v>
      </c>
      <c r="C60" t="s">
        <v>95</v>
      </c>
      <c r="D60" t="s">
        <v>27</v>
      </c>
      <c r="E60" t="s">
        <v>110</v>
      </c>
      <c r="F60" s="3" t="s">
        <v>60</v>
      </c>
      <c r="G60" t="s">
        <v>284</v>
      </c>
      <c r="H60" t="s">
        <v>177</v>
      </c>
      <c r="I60" t="s">
        <v>10</v>
      </c>
      <c r="J60">
        <v>10500</v>
      </c>
      <c r="M60" t="s">
        <v>54</v>
      </c>
      <c r="N60" s="4">
        <v>46284</v>
      </c>
      <c r="O60" s="4">
        <v>46291</v>
      </c>
      <c r="P60">
        <f t="shared" si="0"/>
        <v>58</v>
      </c>
      <c r="Q60" t="str">
        <f t="shared" si="1"/>
        <v>Cold</v>
      </c>
      <c r="R60" t="s">
        <v>55</v>
      </c>
      <c r="S60" t="s">
        <v>34</v>
      </c>
      <c r="T60">
        <f t="shared" si="2"/>
        <v>5</v>
      </c>
      <c r="U60">
        <f t="shared" si="3"/>
        <v>10</v>
      </c>
      <c r="V60">
        <f t="shared" si="4"/>
        <v>20</v>
      </c>
      <c r="W60">
        <f t="shared" si="5"/>
        <v>18</v>
      </c>
      <c r="X60">
        <f t="shared" si="6"/>
        <v>5</v>
      </c>
    </row>
    <row r="61" spans="1:24">
      <c r="A61" t="s">
        <v>285</v>
      </c>
      <c r="B61" t="s">
        <v>286</v>
      </c>
      <c r="C61" t="s">
        <v>100</v>
      </c>
      <c r="D61" t="s">
        <v>49</v>
      </c>
      <c r="E61" t="s">
        <v>78</v>
      </c>
      <c r="F61" t="s">
        <v>29</v>
      </c>
      <c r="G61" t="s">
        <v>287</v>
      </c>
      <c r="H61" t="s">
        <v>288</v>
      </c>
      <c r="I61" t="s">
        <v>53</v>
      </c>
      <c r="J61">
        <v>13500</v>
      </c>
      <c r="M61" t="s">
        <v>45</v>
      </c>
      <c r="N61" s="4">
        <v>46286</v>
      </c>
      <c r="O61" s="4">
        <v>46293</v>
      </c>
      <c r="P61">
        <f t="shared" si="0"/>
        <v>50</v>
      </c>
      <c r="Q61" t="str">
        <f t="shared" si="1"/>
        <v>Cold</v>
      </c>
      <c r="R61" t="s">
        <v>33</v>
      </c>
      <c r="S61" t="s">
        <v>34</v>
      </c>
      <c r="T61">
        <f t="shared" si="2"/>
        <v>5</v>
      </c>
      <c r="U61">
        <f t="shared" si="3"/>
        <v>15</v>
      </c>
      <c r="V61">
        <f t="shared" si="4"/>
        <v>12</v>
      </c>
      <c r="W61">
        <f t="shared" si="5"/>
        <v>18</v>
      </c>
      <c r="X61">
        <f t="shared" si="6"/>
        <v>0</v>
      </c>
    </row>
    <row r="62" spans="1:24">
      <c r="A62" t="s">
        <v>289</v>
      </c>
      <c r="B62" t="s">
        <v>290</v>
      </c>
      <c r="C62" t="s">
        <v>105</v>
      </c>
      <c r="D62" t="s">
        <v>27</v>
      </c>
      <c r="E62" t="s">
        <v>67</v>
      </c>
      <c r="F62" t="s">
        <v>40</v>
      </c>
      <c r="G62" t="s">
        <v>291</v>
      </c>
      <c r="H62" t="s">
        <v>185</v>
      </c>
      <c r="I62" t="s">
        <v>43</v>
      </c>
      <c r="J62">
        <v>33500</v>
      </c>
      <c r="M62" t="s">
        <v>32</v>
      </c>
      <c r="N62" s="4">
        <v>46289</v>
      </c>
      <c r="O62" s="4">
        <v>46296</v>
      </c>
      <c r="P62">
        <f t="shared" si="0"/>
        <v>80</v>
      </c>
      <c r="Q62" t="str">
        <f t="shared" si="1"/>
        <v>Hot</v>
      </c>
      <c r="R62" t="s">
        <v>45</v>
      </c>
      <c r="S62" t="s">
        <v>34</v>
      </c>
      <c r="T62">
        <f t="shared" si="2"/>
        <v>5</v>
      </c>
      <c r="U62">
        <f t="shared" si="3"/>
        <v>20</v>
      </c>
      <c r="V62">
        <f t="shared" si="4"/>
        <v>20</v>
      </c>
      <c r="W62">
        <f t="shared" si="5"/>
        <v>25</v>
      </c>
      <c r="X62">
        <f t="shared" si="6"/>
        <v>10</v>
      </c>
    </row>
    <row r="63" spans="1:24">
      <c r="A63" t="s">
        <v>292</v>
      </c>
      <c r="B63" t="s">
        <v>293</v>
      </c>
      <c r="C63" t="s">
        <v>66</v>
      </c>
      <c r="D63" t="s">
        <v>38</v>
      </c>
      <c r="E63" t="s">
        <v>39</v>
      </c>
      <c r="F63" t="s">
        <v>29</v>
      </c>
      <c r="G63" t="s">
        <v>294</v>
      </c>
      <c r="H63" t="s">
        <v>295</v>
      </c>
      <c r="I63" t="s">
        <v>10</v>
      </c>
      <c r="J63">
        <v>17000</v>
      </c>
      <c r="M63" t="s">
        <v>44</v>
      </c>
      <c r="N63" s="4">
        <v>46285</v>
      </c>
      <c r="O63" s="4">
        <v>46292</v>
      </c>
      <c r="P63">
        <f t="shared" si="0"/>
        <v>71</v>
      </c>
      <c r="Q63" t="str">
        <f t="shared" si="1"/>
        <v>Warm</v>
      </c>
      <c r="R63" t="s">
        <v>55</v>
      </c>
      <c r="S63" t="s">
        <v>34</v>
      </c>
      <c r="T63">
        <f t="shared" si="2"/>
        <v>15</v>
      </c>
      <c r="U63">
        <f t="shared" si="3"/>
        <v>15</v>
      </c>
      <c r="V63">
        <f t="shared" si="4"/>
        <v>15</v>
      </c>
      <c r="W63">
        <f t="shared" si="5"/>
        <v>18</v>
      </c>
      <c r="X63">
        <f t="shared" si="6"/>
        <v>8</v>
      </c>
    </row>
    <row r="64" spans="1:24">
      <c r="A64" t="s">
        <v>296</v>
      </c>
      <c r="B64" t="s">
        <v>297</v>
      </c>
      <c r="C64" t="s">
        <v>115</v>
      </c>
      <c r="D64" t="s">
        <v>59</v>
      </c>
      <c r="E64" t="s">
        <v>59</v>
      </c>
      <c r="F64" s="3" t="s">
        <v>60</v>
      </c>
      <c r="G64" t="s">
        <v>298</v>
      </c>
      <c r="H64" t="s">
        <v>154</v>
      </c>
      <c r="I64" t="s">
        <v>70</v>
      </c>
      <c r="J64">
        <v>8500</v>
      </c>
      <c r="M64" t="s">
        <v>55</v>
      </c>
      <c r="N64" s="4">
        <v>46283</v>
      </c>
      <c r="O64" s="4">
        <v>46291</v>
      </c>
      <c r="P64">
        <f t="shared" si="0"/>
        <v>43</v>
      </c>
      <c r="Q64" t="str">
        <f t="shared" si="1"/>
        <v>Cold</v>
      </c>
      <c r="R64" t="s">
        <v>33</v>
      </c>
      <c r="S64" t="s">
        <v>34</v>
      </c>
      <c r="T64">
        <f t="shared" si="2"/>
        <v>5</v>
      </c>
      <c r="U64">
        <f t="shared" si="3"/>
        <v>10</v>
      </c>
      <c r="V64">
        <f t="shared" si="4"/>
        <v>18</v>
      </c>
      <c r="W64">
        <f t="shared" si="5"/>
        <v>10</v>
      </c>
      <c r="X64">
        <f t="shared" si="6"/>
        <v>0</v>
      </c>
    </row>
    <row r="65" spans="1:24">
      <c r="A65" t="s">
        <v>299</v>
      </c>
      <c r="B65" t="s">
        <v>300</v>
      </c>
      <c r="C65" t="s">
        <v>26</v>
      </c>
      <c r="D65" t="s">
        <v>49</v>
      </c>
      <c r="E65" t="s">
        <v>50</v>
      </c>
      <c r="F65" t="s">
        <v>40</v>
      </c>
      <c r="G65" t="s">
        <v>301</v>
      </c>
      <c r="H65" t="s">
        <v>302</v>
      </c>
      <c r="I65" t="s">
        <v>53</v>
      </c>
      <c r="J65">
        <v>22000</v>
      </c>
      <c r="M65" t="s">
        <v>32</v>
      </c>
      <c r="N65" s="4">
        <v>46288</v>
      </c>
      <c r="O65" s="4">
        <v>46295</v>
      </c>
      <c r="P65">
        <f t="shared" si="0"/>
        <v>92</v>
      </c>
      <c r="Q65" t="str">
        <f t="shared" si="1"/>
        <v>Hot</v>
      </c>
      <c r="R65" t="s">
        <v>45</v>
      </c>
      <c r="S65" t="s">
        <v>34</v>
      </c>
      <c r="T65">
        <f t="shared" si="2"/>
        <v>25</v>
      </c>
      <c r="U65">
        <f t="shared" si="3"/>
        <v>20</v>
      </c>
      <c r="V65">
        <f t="shared" si="4"/>
        <v>12</v>
      </c>
      <c r="W65">
        <f t="shared" si="5"/>
        <v>25</v>
      </c>
      <c r="X65">
        <f t="shared" si="6"/>
        <v>10</v>
      </c>
    </row>
    <row r="66" spans="1:24">
      <c r="A66" t="s">
        <v>303</v>
      </c>
      <c r="B66" t="s">
        <v>304</v>
      </c>
      <c r="C66" t="s">
        <v>37</v>
      </c>
      <c r="D66" t="s">
        <v>27</v>
      </c>
      <c r="E66" t="s">
        <v>28</v>
      </c>
      <c r="F66" t="s">
        <v>29</v>
      </c>
      <c r="G66" t="s">
        <v>305</v>
      </c>
      <c r="H66" t="s">
        <v>234</v>
      </c>
      <c r="I66" t="s">
        <v>43</v>
      </c>
      <c r="J66">
        <v>19500</v>
      </c>
      <c r="M66" t="s">
        <v>45</v>
      </c>
      <c r="N66" s="4">
        <v>46286</v>
      </c>
      <c r="O66" s="4">
        <v>46293</v>
      </c>
      <c r="P66">
        <f t="shared" si="0"/>
        <v>73</v>
      </c>
      <c r="Q66" t="str">
        <f t="shared" si="1"/>
        <v>Warm</v>
      </c>
      <c r="R66" t="s">
        <v>55</v>
      </c>
      <c r="S66" t="s">
        <v>34</v>
      </c>
      <c r="T66">
        <f t="shared" si="2"/>
        <v>20</v>
      </c>
      <c r="U66">
        <f t="shared" si="3"/>
        <v>15</v>
      </c>
      <c r="V66">
        <f t="shared" si="4"/>
        <v>20</v>
      </c>
      <c r="W66">
        <f t="shared" si="5"/>
        <v>18</v>
      </c>
      <c r="X66">
        <f t="shared" si="6"/>
        <v>0</v>
      </c>
    </row>
    <row r="67" spans="1:24">
      <c r="A67" t="s">
        <v>306</v>
      </c>
      <c r="B67" t="s">
        <v>307</v>
      </c>
      <c r="C67" t="s">
        <v>48</v>
      </c>
      <c r="D67" t="s">
        <v>49</v>
      </c>
      <c r="E67" t="s">
        <v>130</v>
      </c>
      <c r="F67" t="s">
        <v>29</v>
      </c>
      <c r="G67" t="s">
        <v>308</v>
      </c>
      <c r="H67" t="s">
        <v>309</v>
      </c>
      <c r="I67" t="s">
        <v>10</v>
      </c>
      <c r="J67">
        <v>14000</v>
      </c>
      <c r="M67" t="s">
        <v>44</v>
      </c>
      <c r="N67" s="4">
        <v>46285</v>
      </c>
      <c r="O67" s="4">
        <v>46292</v>
      </c>
      <c r="P67">
        <f t="shared" ref="P67:P101" si="7">SUM(T67:X67)</f>
        <v>73</v>
      </c>
      <c r="Q67" t="str">
        <f t="shared" ref="Q67:Q101" si="8">IF(P67&gt;=80,"Hot",IF(P67&gt;=60,"Warm","Cold"))</f>
        <v>Warm</v>
      </c>
      <c r="R67" t="s">
        <v>33</v>
      </c>
      <c r="S67" t="s">
        <v>34</v>
      </c>
      <c r="T67">
        <f t="shared" ref="T67:T101" si="9">IF(C67="IT Services",25,IF(C67="Retail",25,IF(C67="Construction",20,IF(C67="Food &amp; Beverage",20,IF(C67="Travel",15,5)))))</f>
        <v>20</v>
      </c>
      <c r="U67">
        <f t="shared" ref="U67:U101" si="10">IF(F67="201-500",20,IF(F67="51-200",15,IF(F67="11-50",10,5)))</f>
        <v>15</v>
      </c>
      <c r="V67">
        <f t="shared" ref="V67:V101" si="11">IF(D67="Australia",20,IF(D67="Singapore",18,IF(D67="UAE",15,IF(D67="India",12,5))))</f>
        <v>12</v>
      </c>
      <c r="W67">
        <f t="shared" ref="W67:W101" si="12">IF(J67&gt;20000,25,IF(J67&gt;=10000,18,IF(J67&gt;=5000,10,5)))</f>
        <v>18</v>
      </c>
      <c r="X67">
        <f t="shared" ref="X67:X101" si="13">IF(M67="Meeting Booked",10,IF(M67="Replied",8,IF(M67="Email Opened",5,0)))</f>
        <v>8</v>
      </c>
    </row>
    <row r="68" spans="1:24">
      <c r="A68" t="s">
        <v>310</v>
      </c>
      <c r="B68" t="s">
        <v>311</v>
      </c>
      <c r="C68" t="s">
        <v>58</v>
      </c>
      <c r="D68" t="s">
        <v>27</v>
      </c>
      <c r="E68" t="s">
        <v>67</v>
      </c>
      <c r="F68" t="s">
        <v>40</v>
      </c>
      <c r="G68" t="s">
        <v>312</v>
      </c>
      <c r="H68" t="s">
        <v>173</v>
      </c>
      <c r="I68" t="s">
        <v>43</v>
      </c>
      <c r="J68">
        <v>30000</v>
      </c>
      <c r="M68" t="s">
        <v>32</v>
      </c>
      <c r="N68" s="4">
        <v>46289</v>
      </c>
      <c r="O68" s="4">
        <v>46296</v>
      </c>
      <c r="P68">
        <f t="shared" si="7"/>
        <v>100</v>
      </c>
      <c r="Q68" t="str">
        <f t="shared" si="8"/>
        <v>Hot</v>
      </c>
      <c r="R68" t="s">
        <v>45</v>
      </c>
      <c r="S68" t="s">
        <v>34</v>
      </c>
      <c r="T68">
        <f t="shared" si="9"/>
        <v>25</v>
      </c>
      <c r="U68">
        <f t="shared" si="10"/>
        <v>20</v>
      </c>
      <c r="V68">
        <f t="shared" si="11"/>
        <v>20</v>
      </c>
      <c r="W68">
        <f t="shared" si="12"/>
        <v>25</v>
      </c>
      <c r="X68">
        <f t="shared" si="13"/>
        <v>10</v>
      </c>
    </row>
    <row r="69" spans="1:24">
      <c r="A69" t="s">
        <v>313</v>
      </c>
      <c r="B69" t="s">
        <v>314</v>
      </c>
      <c r="C69" t="s">
        <v>26</v>
      </c>
      <c r="D69" t="s">
        <v>38</v>
      </c>
      <c r="E69" t="s">
        <v>39</v>
      </c>
      <c r="F69" t="s">
        <v>29</v>
      </c>
      <c r="G69" t="s">
        <v>315</v>
      </c>
      <c r="H69" t="s">
        <v>97</v>
      </c>
      <c r="I69" t="s">
        <v>70</v>
      </c>
      <c r="J69">
        <v>12500</v>
      </c>
      <c r="M69" t="s">
        <v>54</v>
      </c>
      <c r="N69" s="4">
        <v>46283</v>
      </c>
      <c r="O69" s="4">
        <v>46291</v>
      </c>
      <c r="P69">
        <f t="shared" si="7"/>
        <v>78</v>
      </c>
      <c r="Q69" t="str">
        <f t="shared" si="8"/>
        <v>Warm</v>
      </c>
      <c r="R69" t="s">
        <v>55</v>
      </c>
      <c r="S69" t="s">
        <v>34</v>
      </c>
      <c r="T69">
        <f t="shared" si="9"/>
        <v>25</v>
      </c>
      <c r="U69">
        <f t="shared" si="10"/>
        <v>15</v>
      </c>
      <c r="V69">
        <f t="shared" si="11"/>
        <v>15</v>
      </c>
      <c r="W69">
        <f t="shared" si="12"/>
        <v>18</v>
      </c>
      <c r="X69">
        <f t="shared" si="13"/>
        <v>5</v>
      </c>
    </row>
    <row r="70" spans="1:24">
      <c r="A70" t="s">
        <v>316</v>
      </c>
      <c r="B70" t="s">
        <v>317</v>
      </c>
      <c r="C70" t="s">
        <v>37</v>
      </c>
      <c r="D70" t="s">
        <v>59</v>
      </c>
      <c r="E70" t="s">
        <v>59</v>
      </c>
      <c r="F70" s="3" t="s">
        <v>60</v>
      </c>
      <c r="G70" t="s">
        <v>318</v>
      </c>
      <c r="H70" t="s">
        <v>234</v>
      </c>
      <c r="I70" t="s">
        <v>10</v>
      </c>
      <c r="J70">
        <v>9000</v>
      </c>
      <c r="M70" t="s">
        <v>55</v>
      </c>
      <c r="N70" s="4">
        <v>46282</v>
      </c>
      <c r="O70" s="4">
        <v>46290</v>
      </c>
      <c r="P70">
        <f t="shared" si="7"/>
        <v>58</v>
      </c>
      <c r="Q70" t="str">
        <f t="shared" si="8"/>
        <v>Cold</v>
      </c>
      <c r="R70" t="s">
        <v>33</v>
      </c>
      <c r="S70" t="s">
        <v>34</v>
      </c>
      <c r="T70">
        <f t="shared" si="9"/>
        <v>20</v>
      </c>
      <c r="U70">
        <f t="shared" si="10"/>
        <v>10</v>
      </c>
      <c r="V70">
        <f t="shared" si="11"/>
        <v>18</v>
      </c>
      <c r="W70">
        <f t="shared" si="12"/>
        <v>10</v>
      </c>
      <c r="X70">
        <f t="shared" si="13"/>
        <v>0</v>
      </c>
    </row>
    <row r="71" spans="1:24">
      <c r="A71" t="s">
        <v>319</v>
      </c>
      <c r="B71" t="s">
        <v>320</v>
      </c>
      <c r="C71" t="s">
        <v>95</v>
      </c>
      <c r="D71" t="s">
        <v>49</v>
      </c>
      <c r="E71" t="s">
        <v>50</v>
      </c>
      <c r="F71" s="3" t="s">
        <v>40</v>
      </c>
      <c r="G71" t="s">
        <v>321</v>
      </c>
      <c r="H71" t="s">
        <v>212</v>
      </c>
      <c r="I71" t="s">
        <v>53</v>
      </c>
      <c r="J71">
        <v>24500</v>
      </c>
      <c r="M71" t="s">
        <v>32</v>
      </c>
      <c r="N71" s="4">
        <v>46288</v>
      </c>
      <c r="O71" s="4">
        <v>46295</v>
      </c>
      <c r="P71">
        <f t="shared" si="7"/>
        <v>72</v>
      </c>
      <c r="Q71" t="str">
        <f t="shared" si="8"/>
        <v>Warm</v>
      </c>
      <c r="R71" t="s">
        <v>45</v>
      </c>
      <c r="S71" t="s">
        <v>34</v>
      </c>
      <c r="T71">
        <f t="shared" si="9"/>
        <v>5</v>
      </c>
      <c r="U71">
        <f t="shared" si="10"/>
        <v>20</v>
      </c>
      <c r="V71">
        <f t="shared" si="11"/>
        <v>12</v>
      </c>
      <c r="W71">
        <f t="shared" si="12"/>
        <v>25</v>
      </c>
      <c r="X71">
        <f t="shared" si="13"/>
        <v>10</v>
      </c>
    </row>
    <row r="72" spans="1:24">
      <c r="A72" t="s">
        <v>322</v>
      </c>
      <c r="B72" t="s">
        <v>323</v>
      </c>
      <c r="C72" t="s">
        <v>100</v>
      </c>
      <c r="D72" t="s">
        <v>38</v>
      </c>
      <c r="E72" t="s">
        <v>116</v>
      </c>
      <c r="F72" s="3" t="s">
        <v>29</v>
      </c>
      <c r="G72" t="s">
        <v>324</v>
      </c>
      <c r="H72" t="s">
        <v>325</v>
      </c>
      <c r="I72" t="s">
        <v>43</v>
      </c>
      <c r="J72">
        <v>16000</v>
      </c>
      <c r="M72" t="s">
        <v>44</v>
      </c>
      <c r="N72" s="4">
        <v>46286</v>
      </c>
      <c r="O72" s="4">
        <v>46293</v>
      </c>
      <c r="P72">
        <f t="shared" si="7"/>
        <v>61</v>
      </c>
      <c r="Q72" t="str">
        <f t="shared" si="8"/>
        <v>Warm</v>
      </c>
      <c r="R72" t="s">
        <v>55</v>
      </c>
      <c r="S72" t="s">
        <v>34</v>
      </c>
      <c r="T72">
        <f t="shared" si="9"/>
        <v>5</v>
      </c>
      <c r="U72">
        <f t="shared" si="10"/>
        <v>15</v>
      </c>
      <c r="V72">
        <f t="shared" si="11"/>
        <v>15</v>
      </c>
      <c r="W72">
        <f t="shared" si="12"/>
        <v>18</v>
      </c>
      <c r="X72">
        <f t="shared" si="13"/>
        <v>8</v>
      </c>
    </row>
    <row r="73" spans="1:24">
      <c r="A73" t="s">
        <v>326</v>
      </c>
      <c r="B73" t="s">
        <v>327</v>
      </c>
      <c r="C73" t="s">
        <v>105</v>
      </c>
      <c r="D73" t="s">
        <v>27</v>
      </c>
      <c r="E73" t="s">
        <v>73</v>
      </c>
      <c r="F73" s="3" t="s">
        <v>29</v>
      </c>
      <c r="G73" t="s">
        <v>328</v>
      </c>
      <c r="H73" t="s">
        <v>107</v>
      </c>
      <c r="I73" t="s">
        <v>10</v>
      </c>
      <c r="J73">
        <v>20500</v>
      </c>
      <c r="M73" t="s">
        <v>54</v>
      </c>
      <c r="N73" s="4">
        <v>46283</v>
      </c>
      <c r="O73" s="4">
        <v>46291</v>
      </c>
      <c r="P73">
        <f t="shared" si="7"/>
        <v>70</v>
      </c>
      <c r="Q73" t="str">
        <f t="shared" si="8"/>
        <v>Warm</v>
      </c>
      <c r="R73" t="s">
        <v>33</v>
      </c>
      <c r="S73" t="s">
        <v>34</v>
      </c>
      <c r="T73">
        <f t="shared" si="9"/>
        <v>5</v>
      </c>
      <c r="U73">
        <f t="shared" si="10"/>
        <v>15</v>
      </c>
      <c r="V73">
        <f t="shared" si="11"/>
        <v>20</v>
      </c>
      <c r="W73">
        <f t="shared" si="12"/>
        <v>25</v>
      </c>
      <c r="X73">
        <f t="shared" si="13"/>
        <v>5</v>
      </c>
    </row>
    <row r="74" spans="1:24">
      <c r="A74" t="s">
        <v>329</v>
      </c>
      <c r="B74" t="s">
        <v>330</v>
      </c>
      <c r="C74" t="s">
        <v>66</v>
      </c>
      <c r="D74" t="s">
        <v>49</v>
      </c>
      <c r="E74" t="s">
        <v>78</v>
      </c>
      <c r="F74" s="3" t="s">
        <v>60</v>
      </c>
      <c r="G74" t="s">
        <v>331</v>
      </c>
      <c r="H74" t="s">
        <v>332</v>
      </c>
      <c r="I74" t="s">
        <v>70</v>
      </c>
      <c r="J74">
        <v>7500</v>
      </c>
      <c r="M74" t="s">
        <v>32</v>
      </c>
      <c r="N74" s="4">
        <v>46289</v>
      </c>
      <c r="O74" s="4">
        <v>46296</v>
      </c>
      <c r="P74">
        <f t="shared" si="7"/>
        <v>57</v>
      </c>
      <c r="Q74" t="str">
        <f t="shared" si="8"/>
        <v>Cold</v>
      </c>
      <c r="R74" t="s">
        <v>45</v>
      </c>
      <c r="S74" t="s">
        <v>34</v>
      </c>
      <c r="T74">
        <f t="shared" si="9"/>
        <v>15</v>
      </c>
      <c r="U74">
        <f t="shared" si="10"/>
        <v>10</v>
      </c>
      <c r="V74">
        <f t="shared" si="11"/>
        <v>12</v>
      </c>
      <c r="W74">
        <f t="shared" si="12"/>
        <v>10</v>
      </c>
      <c r="X74">
        <f t="shared" si="13"/>
        <v>10</v>
      </c>
    </row>
    <row r="75" spans="1:24">
      <c r="A75" t="s">
        <v>333</v>
      </c>
      <c r="B75" t="s">
        <v>334</v>
      </c>
      <c r="C75" t="s">
        <v>115</v>
      </c>
      <c r="D75" t="s">
        <v>27</v>
      </c>
      <c r="E75" t="s">
        <v>28</v>
      </c>
      <c r="F75" s="3" t="s">
        <v>40</v>
      </c>
      <c r="G75" t="s">
        <v>335</v>
      </c>
      <c r="H75" t="s">
        <v>52</v>
      </c>
      <c r="I75" t="s">
        <v>43</v>
      </c>
      <c r="J75">
        <v>27500</v>
      </c>
      <c r="M75" t="s">
        <v>45</v>
      </c>
      <c r="N75" s="4">
        <v>46286</v>
      </c>
      <c r="O75" s="4">
        <v>46293</v>
      </c>
      <c r="P75">
        <f t="shared" si="7"/>
        <v>70</v>
      </c>
      <c r="Q75" t="str">
        <f t="shared" si="8"/>
        <v>Warm</v>
      </c>
      <c r="R75" t="s">
        <v>33</v>
      </c>
      <c r="S75" t="s">
        <v>34</v>
      </c>
      <c r="T75">
        <f t="shared" si="9"/>
        <v>5</v>
      </c>
      <c r="U75">
        <f t="shared" si="10"/>
        <v>20</v>
      </c>
      <c r="V75">
        <f t="shared" si="11"/>
        <v>20</v>
      </c>
      <c r="W75">
        <f t="shared" si="12"/>
        <v>25</v>
      </c>
      <c r="X75">
        <f t="shared" si="13"/>
        <v>0</v>
      </c>
    </row>
    <row r="76" spans="1:24">
      <c r="A76" t="s">
        <v>336</v>
      </c>
      <c r="B76" t="s">
        <v>337</v>
      </c>
      <c r="C76" t="s">
        <v>26</v>
      </c>
      <c r="D76" t="s">
        <v>59</v>
      </c>
      <c r="E76" t="s">
        <v>59</v>
      </c>
      <c r="F76" s="3" t="s">
        <v>29</v>
      </c>
      <c r="G76" t="s">
        <v>338</v>
      </c>
      <c r="H76" t="s">
        <v>302</v>
      </c>
      <c r="I76" t="s">
        <v>53</v>
      </c>
      <c r="J76">
        <v>14500</v>
      </c>
      <c r="M76" t="s">
        <v>32</v>
      </c>
      <c r="N76" s="4">
        <v>46288</v>
      </c>
      <c r="O76" s="4">
        <v>46295</v>
      </c>
      <c r="P76">
        <f t="shared" si="7"/>
        <v>86</v>
      </c>
      <c r="Q76" t="str">
        <f t="shared" si="8"/>
        <v>Hot</v>
      </c>
      <c r="R76" t="s">
        <v>45</v>
      </c>
      <c r="S76" t="s">
        <v>34</v>
      </c>
      <c r="T76">
        <f t="shared" si="9"/>
        <v>25</v>
      </c>
      <c r="U76">
        <f t="shared" si="10"/>
        <v>15</v>
      </c>
      <c r="V76">
        <f t="shared" si="11"/>
        <v>18</v>
      </c>
      <c r="W76">
        <f t="shared" si="12"/>
        <v>18</v>
      </c>
      <c r="X76">
        <f t="shared" si="13"/>
        <v>10</v>
      </c>
    </row>
    <row r="77" spans="1:24">
      <c r="A77" t="s">
        <v>339</v>
      </c>
      <c r="B77" t="s">
        <v>340</v>
      </c>
      <c r="C77" t="s">
        <v>37</v>
      </c>
      <c r="D77" t="s">
        <v>38</v>
      </c>
      <c r="E77" t="s">
        <v>39</v>
      </c>
      <c r="F77" s="3" t="s">
        <v>40</v>
      </c>
      <c r="G77" t="s">
        <v>341</v>
      </c>
      <c r="H77" t="s">
        <v>200</v>
      </c>
      <c r="I77" t="s">
        <v>10</v>
      </c>
      <c r="J77">
        <v>29000</v>
      </c>
      <c r="M77" t="s">
        <v>45</v>
      </c>
      <c r="N77" s="4">
        <v>46286</v>
      </c>
      <c r="O77" s="4">
        <v>46293</v>
      </c>
      <c r="P77">
        <f t="shared" si="7"/>
        <v>80</v>
      </c>
      <c r="Q77" t="str">
        <f t="shared" si="8"/>
        <v>Hot</v>
      </c>
      <c r="R77" t="s">
        <v>55</v>
      </c>
      <c r="S77" t="s">
        <v>34</v>
      </c>
      <c r="T77">
        <f t="shared" si="9"/>
        <v>20</v>
      </c>
      <c r="U77">
        <f t="shared" si="10"/>
        <v>20</v>
      </c>
      <c r="V77">
        <f t="shared" si="11"/>
        <v>15</v>
      </c>
      <c r="W77">
        <f t="shared" si="12"/>
        <v>25</v>
      </c>
      <c r="X77">
        <f t="shared" si="13"/>
        <v>0</v>
      </c>
    </row>
    <row r="78" spans="1:24">
      <c r="A78" t="s">
        <v>342</v>
      </c>
      <c r="B78" t="s">
        <v>343</v>
      </c>
      <c r="C78" t="s">
        <v>48</v>
      </c>
      <c r="D78" t="s">
        <v>27</v>
      </c>
      <c r="E78" t="s">
        <v>110</v>
      </c>
      <c r="F78" s="3">
        <v>18568</v>
      </c>
      <c r="G78" t="s">
        <v>344</v>
      </c>
      <c r="H78" t="s">
        <v>132</v>
      </c>
      <c r="I78" t="s">
        <v>43</v>
      </c>
      <c r="J78">
        <v>8500</v>
      </c>
      <c r="M78" t="s">
        <v>55</v>
      </c>
      <c r="N78" s="4">
        <v>46282</v>
      </c>
      <c r="O78" s="4">
        <v>46290</v>
      </c>
      <c r="P78">
        <f t="shared" si="7"/>
        <v>55</v>
      </c>
      <c r="Q78" t="str">
        <f t="shared" si="8"/>
        <v>Cold</v>
      </c>
      <c r="R78" t="s">
        <v>33</v>
      </c>
      <c r="S78" t="s">
        <v>34</v>
      </c>
      <c r="T78">
        <f t="shared" si="9"/>
        <v>20</v>
      </c>
      <c r="U78">
        <f t="shared" si="10"/>
        <v>5</v>
      </c>
      <c r="V78">
        <f t="shared" si="11"/>
        <v>20</v>
      </c>
      <c r="W78">
        <f t="shared" si="12"/>
        <v>10</v>
      </c>
      <c r="X78">
        <f t="shared" si="13"/>
        <v>0</v>
      </c>
    </row>
    <row r="79" spans="1:24">
      <c r="A79" t="s">
        <v>345</v>
      </c>
      <c r="B79" t="s">
        <v>346</v>
      </c>
      <c r="C79" t="s">
        <v>58</v>
      </c>
      <c r="D79" t="s">
        <v>49</v>
      </c>
      <c r="E79" t="s">
        <v>121</v>
      </c>
      <c r="F79" s="3" t="s">
        <v>29</v>
      </c>
      <c r="G79" t="s">
        <v>347</v>
      </c>
      <c r="H79" t="s">
        <v>348</v>
      </c>
      <c r="I79" t="s">
        <v>70</v>
      </c>
      <c r="J79">
        <v>18500</v>
      </c>
      <c r="M79" t="s">
        <v>32</v>
      </c>
      <c r="N79" s="4">
        <v>46288</v>
      </c>
      <c r="O79" s="4">
        <v>46295</v>
      </c>
      <c r="P79">
        <f t="shared" si="7"/>
        <v>80</v>
      </c>
      <c r="Q79" t="str">
        <f t="shared" si="8"/>
        <v>Hot</v>
      </c>
      <c r="R79" t="s">
        <v>45</v>
      </c>
      <c r="S79" t="s">
        <v>34</v>
      </c>
      <c r="T79">
        <f t="shared" si="9"/>
        <v>25</v>
      </c>
      <c r="U79">
        <f t="shared" si="10"/>
        <v>15</v>
      </c>
      <c r="V79">
        <f t="shared" si="11"/>
        <v>12</v>
      </c>
      <c r="W79">
        <f t="shared" si="12"/>
        <v>18</v>
      </c>
      <c r="X79">
        <f t="shared" si="13"/>
        <v>10</v>
      </c>
    </row>
    <row r="80" spans="1:24">
      <c r="A80" t="s">
        <v>349</v>
      </c>
      <c r="B80" t="s">
        <v>350</v>
      </c>
      <c r="C80" t="s">
        <v>95</v>
      </c>
      <c r="D80" t="s">
        <v>59</v>
      </c>
      <c r="E80" t="s">
        <v>59</v>
      </c>
      <c r="F80" s="3" t="s">
        <v>29</v>
      </c>
      <c r="G80" t="s">
        <v>351</v>
      </c>
      <c r="H80" t="s">
        <v>251</v>
      </c>
      <c r="I80" t="s">
        <v>10</v>
      </c>
      <c r="J80">
        <v>19000</v>
      </c>
      <c r="M80" t="s">
        <v>45</v>
      </c>
      <c r="N80" s="4">
        <v>46286</v>
      </c>
      <c r="O80" s="4">
        <v>46293</v>
      </c>
      <c r="P80">
        <f t="shared" si="7"/>
        <v>56</v>
      </c>
      <c r="Q80" t="str">
        <f t="shared" si="8"/>
        <v>Cold</v>
      </c>
      <c r="R80" t="s">
        <v>55</v>
      </c>
      <c r="S80" t="s">
        <v>34</v>
      </c>
      <c r="T80">
        <f t="shared" si="9"/>
        <v>5</v>
      </c>
      <c r="U80">
        <f t="shared" si="10"/>
        <v>15</v>
      </c>
      <c r="V80">
        <f t="shared" si="11"/>
        <v>18</v>
      </c>
      <c r="W80">
        <f t="shared" si="12"/>
        <v>18</v>
      </c>
      <c r="X80">
        <f t="shared" si="13"/>
        <v>0</v>
      </c>
    </row>
    <row r="81" spans="1:24">
      <c r="A81" t="s">
        <v>352</v>
      </c>
      <c r="B81" t="s">
        <v>353</v>
      </c>
      <c r="C81" t="s">
        <v>100</v>
      </c>
      <c r="D81" t="s">
        <v>27</v>
      </c>
      <c r="E81" t="s">
        <v>67</v>
      </c>
      <c r="F81" s="3" t="s">
        <v>60</v>
      </c>
      <c r="G81" t="s">
        <v>354</v>
      </c>
      <c r="H81" t="s">
        <v>288</v>
      </c>
      <c r="I81" t="s">
        <v>53</v>
      </c>
      <c r="J81">
        <v>9000</v>
      </c>
      <c r="M81" t="s">
        <v>32</v>
      </c>
      <c r="N81" s="4">
        <v>46289</v>
      </c>
      <c r="O81" s="4">
        <v>46296</v>
      </c>
      <c r="P81">
        <f t="shared" si="7"/>
        <v>55</v>
      </c>
      <c r="Q81" t="str">
        <f t="shared" si="8"/>
        <v>Cold</v>
      </c>
      <c r="R81" t="s">
        <v>33</v>
      </c>
      <c r="S81" t="s">
        <v>34</v>
      </c>
      <c r="T81">
        <f t="shared" si="9"/>
        <v>5</v>
      </c>
      <c r="U81">
        <f t="shared" si="10"/>
        <v>10</v>
      </c>
      <c r="V81">
        <f t="shared" si="11"/>
        <v>20</v>
      </c>
      <c r="W81">
        <f t="shared" si="12"/>
        <v>10</v>
      </c>
      <c r="X81">
        <f t="shared" si="13"/>
        <v>10</v>
      </c>
    </row>
    <row r="82" spans="1:24">
      <c r="A82" t="s">
        <v>355</v>
      </c>
      <c r="B82" t="s">
        <v>356</v>
      </c>
      <c r="C82" t="s">
        <v>105</v>
      </c>
      <c r="D82" t="s">
        <v>49</v>
      </c>
      <c r="E82" t="s">
        <v>50</v>
      </c>
      <c r="F82" s="3" t="s">
        <v>40</v>
      </c>
      <c r="G82" t="s">
        <v>357</v>
      </c>
      <c r="H82" t="s">
        <v>185</v>
      </c>
      <c r="I82" t="s">
        <v>43</v>
      </c>
      <c r="J82">
        <v>28000</v>
      </c>
      <c r="M82" t="s">
        <v>44</v>
      </c>
      <c r="N82" s="4">
        <v>46285</v>
      </c>
      <c r="O82" s="4">
        <v>46292</v>
      </c>
      <c r="P82">
        <f t="shared" si="7"/>
        <v>70</v>
      </c>
      <c r="Q82" t="str">
        <f t="shared" si="8"/>
        <v>Warm</v>
      </c>
      <c r="R82" t="s">
        <v>45</v>
      </c>
      <c r="S82" t="s">
        <v>34</v>
      </c>
      <c r="T82">
        <f t="shared" si="9"/>
        <v>5</v>
      </c>
      <c r="U82">
        <f t="shared" si="10"/>
        <v>20</v>
      </c>
      <c r="V82">
        <f t="shared" si="11"/>
        <v>12</v>
      </c>
      <c r="W82">
        <f t="shared" si="12"/>
        <v>25</v>
      </c>
      <c r="X82">
        <f t="shared" si="13"/>
        <v>8</v>
      </c>
    </row>
    <row r="83" spans="1:24">
      <c r="A83" t="s">
        <v>358</v>
      </c>
      <c r="B83" t="s">
        <v>359</v>
      </c>
      <c r="C83" t="s">
        <v>66</v>
      </c>
      <c r="D83" t="s">
        <v>38</v>
      </c>
      <c r="E83" t="s">
        <v>39</v>
      </c>
      <c r="F83" s="3" t="s">
        <v>29</v>
      </c>
      <c r="G83" t="s">
        <v>360</v>
      </c>
      <c r="H83" t="s">
        <v>112</v>
      </c>
      <c r="I83" t="s">
        <v>10</v>
      </c>
      <c r="J83">
        <v>15500</v>
      </c>
      <c r="M83" t="s">
        <v>45</v>
      </c>
      <c r="N83" s="4">
        <v>46286</v>
      </c>
      <c r="O83" s="4">
        <v>46293</v>
      </c>
      <c r="P83">
        <f t="shared" si="7"/>
        <v>63</v>
      </c>
      <c r="Q83" t="str">
        <f t="shared" si="8"/>
        <v>Warm</v>
      </c>
      <c r="R83" t="s">
        <v>33</v>
      </c>
      <c r="S83" t="s">
        <v>34</v>
      </c>
      <c r="T83">
        <f t="shared" si="9"/>
        <v>15</v>
      </c>
      <c r="U83">
        <f t="shared" si="10"/>
        <v>15</v>
      </c>
      <c r="V83">
        <f t="shared" si="11"/>
        <v>15</v>
      </c>
      <c r="W83">
        <f t="shared" si="12"/>
        <v>18</v>
      </c>
      <c r="X83">
        <f t="shared" si="13"/>
        <v>0</v>
      </c>
    </row>
    <row r="84" spans="1:24">
      <c r="A84" t="s">
        <v>361</v>
      </c>
      <c r="B84" t="s">
        <v>362</v>
      </c>
      <c r="C84" t="s">
        <v>115</v>
      </c>
      <c r="D84" t="s">
        <v>49</v>
      </c>
      <c r="E84" t="s">
        <v>130</v>
      </c>
      <c r="F84" s="3" t="s">
        <v>29</v>
      </c>
      <c r="G84" t="s">
        <v>363</v>
      </c>
      <c r="H84" t="s">
        <v>364</v>
      </c>
      <c r="I84" t="s">
        <v>70</v>
      </c>
      <c r="J84">
        <v>17500</v>
      </c>
      <c r="M84" t="s">
        <v>54</v>
      </c>
      <c r="N84" s="4">
        <v>46283</v>
      </c>
      <c r="O84" s="4">
        <v>46291</v>
      </c>
      <c r="P84">
        <f t="shared" si="7"/>
        <v>55</v>
      </c>
      <c r="Q84" t="str">
        <f t="shared" si="8"/>
        <v>Cold</v>
      </c>
      <c r="R84" t="s">
        <v>45</v>
      </c>
      <c r="S84" t="s">
        <v>34</v>
      </c>
      <c r="T84">
        <f t="shared" si="9"/>
        <v>5</v>
      </c>
      <c r="U84">
        <f t="shared" si="10"/>
        <v>15</v>
      </c>
      <c r="V84">
        <f t="shared" si="11"/>
        <v>12</v>
      </c>
      <c r="W84">
        <f t="shared" si="12"/>
        <v>18</v>
      </c>
      <c r="X84">
        <f t="shared" si="13"/>
        <v>5</v>
      </c>
    </row>
    <row r="85" spans="1:24">
      <c r="A85" t="s">
        <v>365</v>
      </c>
      <c r="B85" t="s">
        <v>366</v>
      </c>
      <c r="C85" t="s">
        <v>26</v>
      </c>
      <c r="D85" t="s">
        <v>27</v>
      </c>
      <c r="E85" t="s">
        <v>73</v>
      </c>
      <c r="F85" s="3" t="s">
        <v>40</v>
      </c>
      <c r="G85" t="s">
        <v>367</v>
      </c>
      <c r="H85" t="s">
        <v>196</v>
      </c>
      <c r="I85" t="s">
        <v>43</v>
      </c>
      <c r="J85">
        <v>26500</v>
      </c>
      <c r="M85" t="s">
        <v>44</v>
      </c>
      <c r="N85" s="4">
        <v>46285</v>
      </c>
      <c r="O85" s="4">
        <v>46292</v>
      </c>
      <c r="P85">
        <f t="shared" si="7"/>
        <v>98</v>
      </c>
      <c r="Q85" t="str">
        <f t="shared" si="8"/>
        <v>Hot</v>
      </c>
      <c r="R85" t="s">
        <v>55</v>
      </c>
      <c r="S85" t="s">
        <v>34</v>
      </c>
      <c r="T85">
        <f t="shared" si="9"/>
        <v>25</v>
      </c>
      <c r="U85">
        <f t="shared" si="10"/>
        <v>20</v>
      </c>
      <c r="V85">
        <f t="shared" si="11"/>
        <v>20</v>
      </c>
      <c r="W85">
        <f t="shared" si="12"/>
        <v>25</v>
      </c>
      <c r="X85">
        <f t="shared" si="13"/>
        <v>8</v>
      </c>
    </row>
    <row r="86" spans="1:24">
      <c r="A86" t="s">
        <v>368</v>
      </c>
      <c r="B86" t="s">
        <v>369</v>
      </c>
      <c r="C86" t="s">
        <v>37</v>
      </c>
      <c r="D86" t="s">
        <v>49</v>
      </c>
      <c r="E86" t="s">
        <v>78</v>
      </c>
      <c r="F86" s="3" t="s">
        <v>29</v>
      </c>
      <c r="G86" t="s">
        <v>370</v>
      </c>
      <c r="H86" t="s">
        <v>234</v>
      </c>
      <c r="I86" t="s">
        <v>10</v>
      </c>
      <c r="J86">
        <v>19000</v>
      </c>
      <c r="M86" t="s">
        <v>32</v>
      </c>
      <c r="N86" s="4">
        <v>46289</v>
      </c>
      <c r="O86" s="4">
        <v>46296</v>
      </c>
      <c r="P86">
        <f t="shared" si="7"/>
        <v>75</v>
      </c>
      <c r="Q86" t="str">
        <f t="shared" si="8"/>
        <v>Warm</v>
      </c>
      <c r="R86" t="s">
        <v>33</v>
      </c>
      <c r="S86" t="s">
        <v>34</v>
      </c>
      <c r="T86">
        <f t="shared" si="9"/>
        <v>20</v>
      </c>
      <c r="U86">
        <f t="shared" si="10"/>
        <v>15</v>
      </c>
      <c r="V86">
        <f t="shared" si="11"/>
        <v>12</v>
      </c>
      <c r="W86">
        <f t="shared" si="12"/>
        <v>18</v>
      </c>
      <c r="X86">
        <f t="shared" si="13"/>
        <v>10</v>
      </c>
    </row>
    <row r="87" spans="1:24">
      <c r="A87" t="s">
        <v>371</v>
      </c>
      <c r="B87" t="s">
        <v>372</v>
      </c>
      <c r="C87" t="s">
        <v>48</v>
      </c>
      <c r="D87" t="s">
        <v>59</v>
      </c>
      <c r="E87" t="s">
        <v>59</v>
      </c>
      <c r="F87" s="3" t="s">
        <v>60</v>
      </c>
      <c r="G87" t="s">
        <v>373</v>
      </c>
      <c r="H87" t="s">
        <v>374</v>
      </c>
      <c r="I87" t="s">
        <v>53</v>
      </c>
      <c r="J87">
        <v>7000</v>
      </c>
      <c r="M87" t="s">
        <v>45</v>
      </c>
      <c r="N87" s="4">
        <v>46286</v>
      </c>
      <c r="O87" s="4">
        <v>46293</v>
      </c>
      <c r="P87">
        <f t="shared" si="7"/>
        <v>58</v>
      </c>
      <c r="Q87" t="str">
        <f t="shared" si="8"/>
        <v>Cold</v>
      </c>
      <c r="R87" t="s">
        <v>45</v>
      </c>
      <c r="S87" t="s">
        <v>34</v>
      </c>
      <c r="T87">
        <f t="shared" si="9"/>
        <v>20</v>
      </c>
      <c r="U87">
        <f t="shared" si="10"/>
        <v>10</v>
      </c>
      <c r="V87">
        <f t="shared" si="11"/>
        <v>18</v>
      </c>
      <c r="W87">
        <f t="shared" si="12"/>
        <v>10</v>
      </c>
      <c r="X87">
        <f t="shared" si="13"/>
        <v>0</v>
      </c>
    </row>
    <row r="88" spans="1:24">
      <c r="A88" t="s">
        <v>375</v>
      </c>
      <c r="B88" t="s">
        <v>376</v>
      </c>
      <c r="C88" t="s">
        <v>58</v>
      </c>
      <c r="D88" t="s">
        <v>38</v>
      </c>
      <c r="E88" t="s">
        <v>116</v>
      </c>
      <c r="F88" s="3" t="s">
        <v>40</v>
      </c>
      <c r="G88" t="s">
        <v>377</v>
      </c>
      <c r="H88" t="s">
        <v>173</v>
      </c>
      <c r="I88" t="s">
        <v>43</v>
      </c>
      <c r="J88">
        <v>32000</v>
      </c>
      <c r="M88" t="s">
        <v>32</v>
      </c>
      <c r="N88" s="4">
        <v>46289</v>
      </c>
      <c r="O88" s="4">
        <v>46296</v>
      </c>
      <c r="P88">
        <f t="shared" si="7"/>
        <v>95</v>
      </c>
      <c r="Q88" t="str">
        <f t="shared" si="8"/>
        <v>Hot</v>
      </c>
      <c r="R88" t="s">
        <v>33</v>
      </c>
      <c r="S88" t="s">
        <v>34</v>
      </c>
      <c r="T88">
        <f t="shared" si="9"/>
        <v>25</v>
      </c>
      <c r="U88">
        <f t="shared" si="10"/>
        <v>20</v>
      </c>
      <c r="V88">
        <f t="shared" si="11"/>
        <v>15</v>
      </c>
      <c r="W88">
        <f t="shared" si="12"/>
        <v>25</v>
      </c>
      <c r="X88">
        <f t="shared" si="13"/>
        <v>10</v>
      </c>
    </row>
    <row r="89" spans="1:24">
      <c r="A89" t="s">
        <v>378</v>
      </c>
      <c r="B89" t="s">
        <v>379</v>
      </c>
      <c r="C89" t="s">
        <v>95</v>
      </c>
      <c r="D89" t="s">
        <v>27</v>
      </c>
      <c r="E89" t="s">
        <v>28</v>
      </c>
      <c r="F89" s="3" t="s">
        <v>29</v>
      </c>
      <c r="G89" t="s">
        <v>380</v>
      </c>
      <c r="H89" t="s">
        <v>251</v>
      </c>
      <c r="I89" t="s">
        <v>10</v>
      </c>
      <c r="J89">
        <v>17500</v>
      </c>
      <c r="M89" t="s">
        <v>44</v>
      </c>
      <c r="N89" s="4">
        <v>46286</v>
      </c>
      <c r="O89" s="4">
        <v>46293</v>
      </c>
      <c r="P89">
        <f t="shared" si="7"/>
        <v>66</v>
      </c>
      <c r="Q89" t="str">
        <f t="shared" si="8"/>
        <v>Warm</v>
      </c>
      <c r="R89" t="s">
        <v>45</v>
      </c>
      <c r="S89" t="s">
        <v>34</v>
      </c>
      <c r="T89">
        <f t="shared" si="9"/>
        <v>5</v>
      </c>
      <c r="U89">
        <f t="shared" si="10"/>
        <v>15</v>
      </c>
      <c r="V89">
        <f t="shared" si="11"/>
        <v>20</v>
      </c>
      <c r="W89">
        <f t="shared" si="12"/>
        <v>18</v>
      </c>
      <c r="X89">
        <f t="shared" si="13"/>
        <v>8</v>
      </c>
    </row>
    <row r="90" spans="1:24">
      <c r="A90" t="s">
        <v>381</v>
      </c>
      <c r="B90" t="s">
        <v>382</v>
      </c>
      <c r="C90" t="s">
        <v>100</v>
      </c>
      <c r="D90" t="s">
        <v>49</v>
      </c>
      <c r="E90" t="s">
        <v>121</v>
      </c>
      <c r="F90" s="3" t="s">
        <v>40</v>
      </c>
      <c r="G90" t="s">
        <v>383</v>
      </c>
      <c r="H90" t="s">
        <v>325</v>
      </c>
      <c r="I90" t="s">
        <v>70</v>
      </c>
      <c r="J90">
        <v>22500</v>
      </c>
      <c r="M90" t="s">
        <v>32</v>
      </c>
      <c r="N90" s="4">
        <v>46288</v>
      </c>
      <c r="O90" s="4">
        <v>46295</v>
      </c>
      <c r="P90">
        <f t="shared" si="7"/>
        <v>72</v>
      </c>
      <c r="Q90" t="str">
        <f t="shared" si="8"/>
        <v>Warm</v>
      </c>
      <c r="R90" t="s">
        <v>55</v>
      </c>
      <c r="S90" t="s">
        <v>34</v>
      </c>
      <c r="T90">
        <f t="shared" si="9"/>
        <v>5</v>
      </c>
      <c r="U90">
        <f t="shared" si="10"/>
        <v>20</v>
      </c>
      <c r="V90">
        <f t="shared" si="11"/>
        <v>12</v>
      </c>
      <c r="W90">
        <f t="shared" si="12"/>
        <v>25</v>
      </c>
      <c r="X90">
        <f t="shared" si="13"/>
        <v>10</v>
      </c>
    </row>
    <row r="91" spans="1:24">
      <c r="A91" t="s">
        <v>384</v>
      </c>
      <c r="B91" t="s">
        <v>385</v>
      </c>
      <c r="C91" t="s">
        <v>105</v>
      </c>
      <c r="D91" t="s">
        <v>59</v>
      </c>
      <c r="E91" t="s">
        <v>59</v>
      </c>
      <c r="F91" s="3" t="s">
        <v>60</v>
      </c>
      <c r="G91" t="s">
        <v>386</v>
      </c>
      <c r="H91" t="s">
        <v>107</v>
      </c>
      <c r="I91" t="s">
        <v>53</v>
      </c>
      <c r="J91">
        <v>8000</v>
      </c>
      <c r="M91" t="s">
        <v>45</v>
      </c>
      <c r="N91" s="4">
        <v>46286</v>
      </c>
      <c r="O91" s="4">
        <v>46293</v>
      </c>
      <c r="P91">
        <f t="shared" si="7"/>
        <v>43</v>
      </c>
      <c r="Q91" t="str">
        <f t="shared" si="8"/>
        <v>Cold</v>
      </c>
      <c r="R91" t="s">
        <v>33</v>
      </c>
      <c r="S91" t="s">
        <v>34</v>
      </c>
      <c r="T91">
        <f t="shared" si="9"/>
        <v>5</v>
      </c>
      <c r="U91">
        <f t="shared" si="10"/>
        <v>10</v>
      </c>
      <c r="V91">
        <f t="shared" si="11"/>
        <v>18</v>
      </c>
      <c r="W91">
        <f t="shared" si="12"/>
        <v>10</v>
      </c>
      <c r="X91">
        <f t="shared" si="13"/>
        <v>0</v>
      </c>
    </row>
    <row r="92" spans="1:24">
      <c r="A92" t="s">
        <v>387</v>
      </c>
      <c r="B92" t="s">
        <v>388</v>
      </c>
      <c r="C92" t="s">
        <v>66</v>
      </c>
      <c r="D92" t="s">
        <v>27</v>
      </c>
      <c r="E92" t="s">
        <v>67</v>
      </c>
      <c r="F92" s="3" t="s">
        <v>29</v>
      </c>
      <c r="G92" t="s">
        <v>389</v>
      </c>
      <c r="H92" t="s">
        <v>262</v>
      </c>
      <c r="I92" t="s">
        <v>43</v>
      </c>
      <c r="J92">
        <v>18000</v>
      </c>
      <c r="M92" t="s">
        <v>32</v>
      </c>
      <c r="N92" s="4">
        <v>46289</v>
      </c>
      <c r="O92" s="4">
        <v>46296</v>
      </c>
      <c r="P92">
        <f t="shared" si="7"/>
        <v>78</v>
      </c>
      <c r="Q92" t="str">
        <f t="shared" si="8"/>
        <v>Warm</v>
      </c>
      <c r="R92" t="s">
        <v>45</v>
      </c>
      <c r="S92" t="s">
        <v>34</v>
      </c>
      <c r="T92">
        <f t="shared" si="9"/>
        <v>15</v>
      </c>
      <c r="U92">
        <f t="shared" si="10"/>
        <v>15</v>
      </c>
      <c r="V92">
        <f t="shared" si="11"/>
        <v>20</v>
      </c>
      <c r="W92">
        <f t="shared" si="12"/>
        <v>18</v>
      </c>
      <c r="X92">
        <f t="shared" si="13"/>
        <v>10</v>
      </c>
    </row>
    <row r="93" spans="1:24">
      <c r="A93" t="s">
        <v>390</v>
      </c>
      <c r="B93" t="s">
        <v>391</v>
      </c>
      <c r="C93" t="s">
        <v>115</v>
      </c>
      <c r="D93" t="s">
        <v>38</v>
      </c>
      <c r="E93" t="s">
        <v>39</v>
      </c>
      <c r="F93" s="3" t="s">
        <v>40</v>
      </c>
      <c r="G93" t="s">
        <v>392</v>
      </c>
      <c r="H93" t="s">
        <v>92</v>
      </c>
      <c r="I93" t="s">
        <v>10</v>
      </c>
      <c r="J93">
        <v>31000</v>
      </c>
      <c r="M93" t="s">
        <v>44</v>
      </c>
      <c r="N93" s="4">
        <v>46285</v>
      </c>
      <c r="O93" s="4">
        <v>46292</v>
      </c>
      <c r="P93">
        <f t="shared" si="7"/>
        <v>73</v>
      </c>
      <c r="Q93" t="str">
        <f t="shared" si="8"/>
        <v>Warm</v>
      </c>
      <c r="R93" t="s">
        <v>55</v>
      </c>
      <c r="S93" t="s">
        <v>34</v>
      </c>
      <c r="T93">
        <f t="shared" si="9"/>
        <v>5</v>
      </c>
      <c r="U93">
        <f t="shared" si="10"/>
        <v>20</v>
      </c>
      <c r="V93">
        <f t="shared" si="11"/>
        <v>15</v>
      </c>
      <c r="W93">
        <f t="shared" si="12"/>
        <v>25</v>
      </c>
      <c r="X93">
        <f t="shared" si="13"/>
        <v>8</v>
      </c>
    </row>
    <row r="94" spans="1:24">
      <c r="A94" t="s">
        <v>393</v>
      </c>
      <c r="B94" t="s">
        <v>394</v>
      </c>
      <c r="C94" t="s">
        <v>26</v>
      </c>
      <c r="D94" t="s">
        <v>49</v>
      </c>
      <c r="E94" t="s">
        <v>50</v>
      </c>
      <c r="F94" s="3" t="s">
        <v>60</v>
      </c>
      <c r="G94" t="s">
        <v>395</v>
      </c>
      <c r="H94" t="s">
        <v>158</v>
      </c>
      <c r="I94" t="s">
        <v>70</v>
      </c>
      <c r="J94">
        <v>6500</v>
      </c>
      <c r="M94" t="s">
        <v>45</v>
      </c>
      <c r="N94" s="4">
        <v>46286</v>
      </c>
      <c r="O94" s="4">
        <v>46293</v>
      </c>
      <c r="P94">
        <f t="shared" si="7"/>
        <v>57</v>
      </c>
      <c r="Q94" t="str">
        <f t="shared" si="8"/>
        <v>Cold</v>
      </c>
      <c r="R94" t="s">
        <v>33</v>
      </c>
      <c r="S94" t="s">
        <v>34</v>
      </c>
      <c r="T94">
        <f t="shared" si="9"/>
        <v>25</v>
      </c>
      <c r="U94">
        <f t="shared" si="10"/>
        <v>10</v>
      </c>
      <c r="V94">
        <f t="shared" si="11"/>
        <v>12</v>
      </c>
      <c r="W94">
        <f t="shared" si="12"/>
        <v>10</v>
      </c>
      <c r="X94">
        <f t="shared" si="13"/>
        <v>0</v>
      </c>
    </row>
    <row r="95" spans="1:24">
      <c r="A95" t="s">
        <v>396</v>
      </c>
      <c r="B95" t="s">
        <v>397</v>
      </c>
      <c r="C95" t="s">
        <v>37</v>
      </c>
      <c r="D95" t="s">
        <v>27</v>
      </c>
      <c r="E95" t="s">
        <v>110</v>
      </c>
      <c r="F95" s="3" t="s">
        <v>29</v>
      </c>
      <c r="G95" t="s">
        <v>398</v>
      </c>
      <c r="H95" t="s">
        <v>200</v>
      </c>
      <c r="I95" t="s">
        <v>43</v>
      </c>
      <c r="J95">
        <v>21000</v>
      </c>
      <c r="M95" t="s">
        <v>54</v>
      </c>
      <c r="N95" s="4">
        <v>46283</v>
      </c>
      <c r="O95" s="4">
        <v>46291</v>
      </c>
      <c r="P95">
        <f t="shared" si="7"/>
        <v>85</v>
      </c>
      <c r="Q95" t="str">
        <f t="shared" si="8"/>
        <v>Hot</v>
      </c>
      <c r="R95" t="s">
        <v>45</v>
      </c>
      <c r="S95" t="s">
        <v>34</v>
      </c>
      <c r="T95">
        <f t="shared" si="9"/>
        <v>20</v>
      </c>
      <c r="U95">
        <f t="shared" si="10"/>
        <v>15</v>
      </c>
      <c r="V95">
        <f t="shared" si="11"/>
        <v>20</v>
      </c>
      <c r="W95">
        <f t="shared" si="12"/>
        <v>25</v>
      </c>
      <c r="X95">
        <f t="shared" si="13"/>
        <v>5</v>
      </c>
    </row>
    <row r="96" spans="1:24">
      <c r="A96" t="s">
        <v>399</v>
      </c>
      <c r="B96" t="s">
        <v>400</v>
      </c>
      <c r="C96" t="s">
        <v>48</v>
      </c>
      <c r="D96" t="s">
        <v>49</v>
      </c>
      <c r="E96" t="s">
        <v>130</v>
      </c>
      <c r="F96" s="3" t="s">
        <v>40</v>
      </c>
      <c r="G96" t="s">
        <v>401</v>
      </c>
      <c r="H96" t="s">
        <v>374</v>
      </c>
      <c r="I96" t="s">
        <v>10</v>
      </c>
      <c r="J96">
        <v>26000</v>
      </c>
      <c r="M96" t="s">
        <v>44</v>
      </c>
      <c r="N96" s="4">
        <v>46285</v>
      </c>
      <c r="O96" s="4">
        <v>46292</v>
      </c>
      <c r="P96">
        <f t="shared" si="7"/>
        <v>85</v>
      </c>
      <c r="Q96" t="str">
        <f t="shared" si="8"/>
        <v>Hot</v>
      </c>
      <c r="R96" t="s">
        <v>33</v>
      </c>
      <c r="S96" t="s">
        <v>34</v>
      </c>
      <c r="T96">
        <f t="shared" si="9"/>
        <v>20</v>
      </c>
      <c r="U96">
        <f t="shared" si="10"/>
        <v>20</v>
      </c>
      <c r="V96">
        <f t="shared" si="11"/>
        <v>12</v>
      </c>
      <c r="W96">
        <f t="shared" si="12"/>
        <v>25</v>
      </c>
      <c r="X96">
        <f t="shared" si="13"/>
        <v>8</v>
      </c>
    </row>
    <row r="97" spans="1:24">
      <c r="A97" t="s">
        <v>402</v>
      </c>
      <c r="B97" t="s">
        <v>403</v>
      </c>
      <c r="C97" t="s">
        <v>58</v>
      </c>
      <c r="D97" t="s">
        <v>59</v>
      </c>
      <c r="E97" t="s">
        <v>59</v>
      </c>
      <c r="F97" s="3" t="s">
        <v>29</v>
      </c>
      <c r="G97" t="s">
        <v>404</v>
      </c>
      <c r="H97" t="s">
        <v>405</v>
      </c>
      <c r="I97" t="s">
        <v>53</v>
      </c>
      <c r="J97">
        <v>19500</v>
      </c>
      <c r="M97" t="s">
        <v>32</v>
      </c>
      <c r="N97" s="4">
        <v>46289</v>
      </c>
      <c r="O97" s="4">
        <v>46296</v>
      </c>
      <c r="P97">
        <f t="shared" si="7"/>
        <v>86</v>
      </c>
      <c r="Q97" t="str">
        <f t="shared" si="8"/>
        <v>Hot</v>
      </c>
      <c r="R97" t="s">
        <v>45</v>
      </c>
      <c r="S97" t="s">
        <v>34</v>
      </c>
      <c r="T97">
        <f t="shared" si="9"/>
        <v>25</v>
      </c>
      <c r="U97">
        <f t="shared" si="10"/>
        <v>15</v>
      </c>
      <c r="V97">
        <f t="shared" si="11"/>
        <v>18</v>
      </c>
      <c r="W97">
        <f t="shared" si="12"/>
        <v>18</v>
      </c>
      <c r="X97">
        <f t="shared" si="13"/>
        <v>10</v>
      </c>
    </row>
    <row r="98" spans="1:24">
      <c r="A98" t="s">
        <v>406</v>
      </c>
      <c r="B98" t="s">
        <v>407</v>
      </c>
      <c r="C98" t="s">
        <v>95</v>
      </c>
      <c r="D98" t="s">
        <v>38</v>
      </c>
      <c r="E98" t="s">
        <v>39</v>
      </c>
      <c r="F98" s="3" t="s">
        <v>60</v>
      </c>
      <c r="G98" t="s">
        <v>408</v>
      </c>
      <c r="H98" t="s">
        <v>212</v>
      </c>
      <c r="I98" t="s">
        <v>70</v>
      </c>
      <c r="J98">
        <v>9500</v>
      </c>
      <c r="M98" t="s">
        <v>45</v>
      </c>
      <c r="N98" s="4">
        <v>46286</v>
      </c>
      <c r="O98" s="4">
        <v>46293</v>
      </c>
      <c r="P98">
        <f t="shared" si="7"/>
        <v>40</v>
      </c>
      <c r="Q98" t="str">
        <f t="shared" si="8"/>
        <v>Cold</v>
      </c>
      <c r="R98" t="s">
        <v>33</v>
      </c>
      <c r="S98" t="s">
        <v>34</v>
      </c>
      <c r="T98">
        <f t="shared" si="9"/>
        <v>5</v>
      </c>
      <c r="U98">
        <f t="shared" si="10"/>
        <v>10</v>
      </c>
      <c r="V98">
        <f t="shared" si="11"/>
        <v>15</v>
      </c>
      <c r="W98">
        <f t="shared" si="12"/>
        <v>10</v>
      </c>
      <c r="X98">
        <f t="shared" si="13"/>
        <v>0</v>
      </c>
    </row>
    <row r="99" spans="1:24">
      <c r="A99" t="s">
        <v>409</v>
      </c>
      <c r="B99" t="s">
        <v>410</v>
      </c>
      <c r="C99" t="s">
        <v>100</v>
      </c>
      <c r="D99" t="s">
        <v>27</v>
      </c>
      <c r="E99" t="s">
        <v>73</v>
      </c>
      <c r="F99" s="3" t="s">
        <v>29</v>
      </c>
      <c r="G99" t="s">
        <v>411</v>
      </c>
      <c r="H99" t="s">
        <v>288</v>
      </c>
      <c r="I99" t="s">
        <v>43</v>
      </c>
      <c r="J99">
        <v>15000</v>
      </c>
      <c r="M99" t="s">
        <v>55</v>
      </c>
      <c r="N99" s="4">
        <v>46282</v>
      </c>
      <c r="O99" s="4">
        <v>46290</v>
      </c>
      <c r="P99">
        <f t="shared" si="7"/>
        <v>58</v>
      </c>
      <c r="Q99" t="str">
        <f t="shared" si="8"/>
        <v>Cold</v>
      </c>
      <c r="R99" t="s">
        <v>44</v>
      </c>
      <c r="S99" t="s">
        <v>34</v>
      </c>
      <c r="T99">
        <f t="shared" si="9"/>
        <v>5</v>
      </c>
      <c r="U99">
        <f t="shared" si="10"/>
        <v>15</v>
      </c>
      <c r="V99">
        <f t="shared" si="11"/>
        <v>20</v>
      </c>
      <c r="W99">
        <f t="shared" si="12"/>
        <v>18</v>
      </c>
      <c r="X99">
        <f t="shared" si="13"/>
        <v>0</v>
      </c>
    </row>
    <row r="100" spans="1:24">
      <c r="A100" t="s">
        <v>412</v>
      </c>
      <c r="B100" t="s">
        <v>413</v>
      </c>
      <c r="C100" t="s">
        <v>105</v>
      </c>
      <c r="D100" t="s">
        <v>49</v>
      </c>
      <c r="E100" t="s">
        <v>78</v>
      </c>
      <c r="F100" s="3" t="s">
        <v>40</v>
      </c>
      <c r="G100" t="s">
        <v>414</v>
      </c>
      <c r="H100" t="s">
        <v>185</v>
      </c>
      <c r="I100" t="s">
        <v>10</v>
      </c>
      <c r="J100">
        <v>30000</v>
      </c>
      <c r="M100" t="s">
        <v>32</v>
      </c>
      <c r="N100" s="4">
        <v>46288</v>
      </c>
      <c r="O100" s="4">
        <v>46295</v>
      </c>
      <c r="P100">
        <f t="shared" si="7"/>
        <v>72</v>
      </c>
      <c r="Q100" t="str">
        <f t="shared" si="8"/>
        <v>Warm</v>
      </c>
      <c r="R100" t="s">
        <v>33</v>
      </c>
      <c r="S100" t="s">
        <v>34</v>
      </c>
      <c r="T100">
        <f t="shared" si="9"/>
        <v>5</v>
      </c>
      <c r="U100">
        <f t="shared" si="10"/>
        <v>20</v>
      </c>
      <c r="V100">
        <f t="shared" si="11"/>
        <v>12</v>
      </c>
      <c r="W100">
        <f t="shared" si="12"/>
        <v>25</v>
      </c>
      <c r="X100">
        <f t="shared" si="13"/>
        <v>10</v>
      </c>
    </row>
    <row r="101" spans="1:24">
      <c r="A101" t="s">
        <v>415</v>
      </c>
      <c r="B101" t="s">
        <v>416</v>
      </c>
      <c r="C101" t="s">
        <v>66</v>
      </c>
      <c r="D101" t="s">
        <v>27</v>
      </c>
      <c r="E101" t="s">
        <v>67</v>
      </c>
      <c r="F101" s="3" t="s">
        <v>29</v>
      </c>
      <c r="G101" t="s">
        <v>417</v>
      </c>
      <c r="H101" t="s">
        <v>150</v>
      </c>
      <c r="I101" t="s">
        <v>53</v>
      </c>
      <c r="J101">
        <v>16500</v>
      </c>
      <c r="M101" t="s">
        <v>45</v>
      </c>
      <c r="N101" s="4">
        <v>46286</v>
      </c>
      <c r="O101" s="4">
        <v>46293</v>
      </c>
      <c r="P101">
        <f t="shared" si="7"/>
        <v>68</v>
      </c>
      <c r="Q101" t="str">
        <f t="shared" si="8"/>
        <v>Warm</v>
      </c>
      <c r="R101" t="s">
        <v>45</v>
      </c>
      <c r="S101" t="s">
        <v>34</v>
      </c>
      <c r="T101">
        <f t="shared" si="9"/>
        <v>15</v>
      </c>
      <c r="U101">
        <f t="shared" si="10"/>
        <v>15</v>
      </c>
      <c r="V101">
        <f t="shared" si="11"/>
        <v>20</v>
      </c>
      <c r="W101">
        <f t="shared" si="12"/>
        <v>18</v>
      </c>
      <c r="X101">
        <f t="shared" si="13"/>
        <v>0</v>
      </c>
    </row>
  </sheetData>
  <dataValidations count="4">
    <dataValidation allowBlank="1" showInputMessage="1" showErrorMessage="1" sqref="M1 M102:M1048576" xr:uid="{4CD6FFC8-4C4F-4138-B997-21B77D3D9750}"/>
    <dataValidation type="list" allowBlank="1" showInputMessage="1" showErrorMessage="1" sqref="M2:M101" xr:uid="{316A0B78-DBBB-47F6-A4B2-DC7BE7B476F8}">
      <formula1>"New,Contacted,Email Opened,Replied,Meeting Booked,No Response"</formula1>
    </dataValidation>
    <dataValidation type="list" allowBlank="1" showInputMessage="1" showErrorMessage="1" sqref="R2:R101" xr:uid="{C2D84610-310C-420A-8019-4FFC8B4D39BE}">
      <formula1>"New Lead,Contacted,Qualified,Meeting,Proposal,Negotiation,Won,Lost"</formula1>
    </dataValidation>
    <dataValidation type="list" allowBlank="1" showInputMessage="1" showErrorMessage="1" sqref="S2:S101" xr:uid="{062AD1F9-7EB1-40CD-8DD8-38E0AAC104FB}">
      <formula1>"Open,Won,Lost"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1A2B-38D8-423A-A544-843B6E8CD595}">
  <dimension ref="A1:K14"/>
  <sheetViews>
    <sheetView workbookViewId="0">
      <selection activeCell="M5" sqref="M5"/>
    </sheetView>
  </sheetViews>
  <sheetFormatPr defaultRowHeight="15"/>
  <cols>
    <col min="1" max="1" width="24.5703125" bestFit="1" customWidth="1"/>
    <col min="4" max="4" width="13.7109375" bestFit="1" customWidth="1"/>
    <col min="5" max="5" width="16.140625" bestFit="1" customWidth="1"/>
    <col min="7" max="7" width="15.140625" bestFit="1" customWidth="1"/>
    <col min="8" max="8" width="6.140625" bestFit="1" customWidth="1"/>
    <col min="10" max="10" width="10.85546875" customWidth="1"/>
  </cols>
  <sheetData>
    <row r="1" spans="1:11">
      <c r="A1" t="s">
        <v>418</v>
      </c>
    </row>
    <row r="2" spans="1:11">
      <c r="G2" s="1"/>
      <c r="H2" s="1"/>
      <c r="J2" s="1"/>
      <c r="K2" s="1"/>
    </row>
    <row r="3" spans="1:11">
      <c r="A3" t="s">
        <v>419</v>
      </c>
      <c r="B3">
        <f>COUNTA(Lead_Database!A2:A101)</f>
        <v>100</v>
      </c>
      <c r="D3" t="s">
        <v>16</v>
      </c>
      <c r="E3" t="s">
        <v>420</v>
      </c>
      <c r="G3" t="s">
        <v>8</v>
      </c>
      <c r="H3" t="s">
        <v>421</v>
      </c>
      <c r="J3" t="s">
        <v>17</v>
      </c>
      <c r="K3" t="s">
        <v>421</v>
      </c>
    </row>
    <row r="4" spans="1:11">
      <c r="A4" t="s">
        <v>422</v>
      </c>
      <c r="B4">
        <f>SUM(Lead_Database!J2:J101)</f>
        <v>1745500</v>
      </c>
      <c r="D4" t="s">
        <v>423</v>
      </c>
      <c r="E4">
        <f>COUNTIF(Lead_Database!Q2:Q101,D4)</f>
        <v>29</v>
      </c>
      <c r="G4" t="s">
        <v>10</v>
      </c>
      <c r="H4">
        <f>COUNTIF(Lead_Database!I2:I101,G4)</f>
        <v>31</v>
      </c>
      <c r="J4" t="s">
        <v>424</v>
      </c>
      <c r="K4">
        <f>COUNTIF(Lead_Database!R2:R101,J4)</f>
        <v>0</v>
      </c>
    </row>
    <row r="5" spans="1:11">
      <c r="A5" t="s">
        <v>425</v>
      </c>
      <c r="B5">
        <f>COUNTIF(Lead_Database!Q2:Q101,"Hot")</f>
        <v>29</v>
      </c>
      <c r="D5" t="s">
        <v>426</v>
      </c>
      <c r="E5">
        <f>COUNTIF(Lead_Database!Q3:Q102,D5)</f>
        <v>44</v>
      </c>
      <c r="G5" t="s">
        <v>43</v>
      </c>
      <c r="H5">
        <f>COUNTIF(Lead_Database!I3:I102,G5)</f>
        <v>27</v>
      </c>
      <c r="J5" t="s">
        <v>55</v>
      </c>
      <c r="K5">
        <f>COUNTIF(Lead_Database!R3:R102,J5)</f>
        <v>27</v>
      </c>
    </row>
    <row r="6" spans="1:11">
      <c r="A6" t="s">
        <v>427</v>
      </c>
      <c r="B6">
        <f>COUNTIF(Lead_Database!M2:M101,"Meeting Booked")</f>
        <v>34</v>
      </c>
      <c r="D6" t="s">
        <v>428</v>
      </c>
      <c r="E6">
        <f>COUNTIF(Lead_Database!Q4:Q103,D6)</f>
        <v>27</v>
      </c>
      <c r="G6" t="s">
        <v>70</v>
      </c>
      <c r="H6">
        <f>COUNTIF(Lead_Database!I4:I103,G6)</f>
        <v>22</v>
      </c>
      <c r="J6" t="s">
        <v>45</v>
      </c>
      <c r="K6">
        <f>COUNTIF(Lead_Database!R4:R103,J6)</f>
        <v>34</v>
      </c>
    </row>
    <row r="7" spans="1:11">
      <c r="A7" t="s">
        <v>429</v>
      </c>
      <c r="B7">
        <f>COUNTIF(Lead_Database!R2:R101,"Qualified")</f>
        <v>35</v>
      </c>
      <c r="G7" t="s">
        <v>53</v>
      </c>
      <c r="H7">
        <f>COUNTIF(Lead_Database!I5:I104,G7)</f>
        <v>19</v>
      </c>
      <c r="J7" t="s">
        <v>33</v>
      </c>
      <c r="K7">
        <f>COUNTIF(Lead_Database!R5:R104,J7)</f>
        <v>36</v>
      </c>
    </row>
    <row r="8" spans="1:11">
      <c r="A8" t="s">
        <v>430</v>
      </c>
      <c r="B8">
        <f>COUNTIF(Lead_Database!S2:S101,"Won")</f>
        <v>0</v>
      </c>
      <c r="J8" t="s">
        <v>431</v>
      </c>
      <c r="K8">
        <f>COUNTIF(Lead_Database!R6:R105,J8)</f>
        <v>0</v>
      </c>
    </row>
    <row r="9" spans="1:11">
      <c r="A9" t="s">
        <v>432</v>
      </c>
      <c r="B9">
        <f>COUNTIF(Lead_Database!S2:S101,"Lost")</f>
        <v>0</v>
      </c>
      <c r="J9" t="s">
        <v>433</v>
      </c>
      <c r="K9">
        <f>COUNTIF(Lead_Database!R7:R106,J9)</f>
        <v>0</v>
      </c>
    </row>
    <row r="10" spans="1:11">
      <c r="A10" t="s">
        <v>434</v>
      </c>
      <c r="B10" s="5">
        <f>IFERROR(B9/B3,0)</f>
        <v>0</v>
      </c>
      <c r="J10" t="s">
        <v>435</v>
      </c>
      <c r="K10">
        <f>COUNTIF(Lead_Database!R8:R107,J10)</f>
        <v>0</v>
      </c>
    </row>
    <row r="11" spans="1:11">
      <c r="A11" t="s">
        <v>436</v>
      </c>
      <c r="B11" s="5">
        <f>IFERROR(B8/B3,0)</f>
        <v>0</v>
      </c>
      <c r="J11" t="s">
        <v>437</v>
      </c>
      <c r="K11">
        <f>COUNTIF(Lead_Database!R9:R108,J11)</f>
        <v>0</v>
      </c>
    </row>
    <row r="12" spans="1:11">
      <c r="A12" t="s">
        <v>438</v>
      </c>
      <c r="B12" s="5">
        <f>IFERROR(B7/B3,0)</f>
        <v>0.35</v>
      </c>
    </row>
    <row r="13" spans="1:11">
      <c r="A13" t="s">
        <v>439</v>
      </c>
      <c r="B13">
        <f>AVERAGE(Lead_Database!J2:J101)</f>
        <v>17455</v>
      </c>
    </row>
    <row r="14" spans="1:11">
      <c r="A14" t="s">
        <v>440</v>
      </c>
      <c r="B14">
        <f>SUMIF(Lead_Database!S2:S101,"Open",Lead_Database!J2:J101)</f>
        <v>1745500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bhusariyash260520051@outlook.com</cp:lastModifiedBy>
  <cp:revision/>
  <dcterms:created xsi:type="dcterms:W3CDTF">2026-09-25T09:03:38Z</dcterms:created>
  <dcterms:modified xsi:type="dcterms:W3CDTF">2026-09-26T07:14:25Z</dcterms:modified>
  <cp:category/>
  <cp:contentStatus/>
</cp:coreProperties>
</file>